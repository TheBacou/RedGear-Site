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05" windowWidth="19440" windowHeight="10005"/>
  </bookViews>
  <sheets>
    <sheet name="Renseignements" sheetId="1" r:id="rId1"/>
    <sheet name="TEST B2V" sheetId="2" r:id="rId2"/>
    <sheet name="Résultats" sheetId="3" r:id="rId3"/>
  </sheets>
  <definedNames>
    <definedName name="ABR">Renseignements!$M$23</definedName>
    <definedName name="ARB0">Renseignements!$F$20</definedName>
    <definedName name="DATE_DE_PASSAGE">Renseignements!$H$15</definedName>
    <definedName name="DATE_NAISSANCE">Renseignements!$H$14</definedName>
    <definedName name="DATE_PASSAGE">Renseignements!$H$14</definedName>
    <definedName name="NBBR">'TEST B2V'!$R$156</definedName>
    <definedName name="NBQ_1">'TEST B2V'!$T$37</definedName>
    <definedName name="NBQ_2">'TEST B2V'!$T$79</definedName>
    <definedName name="NBQ_3">'TEST B2V'!$T$114</definedName>
    <definedName name="NBQ_4">'TEST B2V'!$T$153</definedName>
    <definedName name="NBQT">'TEST B2V'!$T$156</definedName>
    <definedName name="NOM">Renseignements!$H$12</definedName>
    <definedName name="PRENOM">Renseignements!$H$13</definedName>
    <definedName name="QCMF">'TEST B2V'!$V$156</definedName>
    <definedName name="QCMF_1">'TEST B2V'!$V$37</definedName>
    <definedName name="QCMF_12">'TEST B2V'!#REF!</definedName>
    <definedName name="QCMF_2">'TEST B2V'!$V$79</definedName>
    <definedName name="QCMF_3">'TEST B2V'!$V$114</definedName>
    <definedName name="QCMF_4">'TEST B2V'!$V$153</definedName>
    <definedName name="QCMF_6">'TEST B2V'!#REF!</definedName>
    <definedName name="RBR_1">'TEST B2V'!$U$37</definedName>
    <definedName name="RBR_2">'TEST B2V'!$U$79</definedName>
    <definedName name="RBR_3">'TEST B2V'!$U$114</definedName>
    <definedName name="RBR_4">'TEST B2V'!$U$153</definedName>
    <definedName name="RBRT">'TEST B2V'!$U$156</definedName>
    <definedName name="_xlnm.Print_Area" localSheetId="0">Renseignements!$D$3:$M$31</definedName>
    <definedName name="_xlnm.Print_Area" localSheetId="2">Résultats!$B$2:$L$32</definedName>
  </definedNames>
  <calcPr calcId="124519"/>
</workbook>
</file>

<file path=xl/calcChain.xml><?xml version="1.0" encoding="utf-8"?>
<calcChain xmlns="http://schemas.openxmlformats.org/spreadsheetml/2006/main">
  <c r="L25" i="1"/>
  <c r="G25"/>
  <c r="J21"/>
  <c r="G21" s="1"/>
  <c r="O12" i="3"/>
  <c r="O9"/>
  <c r="R153" i="2" l="1"/>
  <c r="R146"/>
  <c r="R138"/>
  <c r="R114"/>
  <c r="R107" l="1"/>
  <c r="S107" s="1"/>
  <c r="M107" s="1"/>
  <c r="R101"/>
  <c r="S101" s="1"/>
  <c r="M101" s="1"/>
  <c r="R95"/>
  <c r="S95" s="1"/>
  <c r="M95" s="1"/>
  <c r="R87"/>
  <c r="S87" s="1"/>
  <c r="M87" s="1"/>
  <c r="R59"/>
  <c r="S59" s="1"/>
  <c r="M59" s="1"/>
  <c r="R53"/>
  <c r="S53" s="1"/>
  <c r="M53" s="1"/>
  <c r="R47"/>
  <c r="S47" s="1"/>
  <c r="M47" s="1"/>
  <c r="R23"/>
  <c r="S23" s="1"/>
  <c r="M23" s="1"/>
  <c r="R15"/>
  <c r="S15" s="1"/>
  <c r="M15" s="1"/>
  <c r="R37"/>
  <c r="S37" s="1"/>
  <c r="M37" s="1"/>
  <c r="R29"/>
  <c r="S29" s="1"/>
  <c r="M29" s="1"/>
  <c r="S153"/>
  <c r="M153" s="1"/>
  <c r="S146"/>
  <c r="M146" s="1"/>
  <c r="R122"/>
  <c r="S122" s="1"/>
  <c r="M122" s="1"/>
  <c r="S138"/>
  <c r="M138" s="1"/>
  <c r="R129"/>
  <c r="D32" i="3"/>
  <c r="L2"/>
  <c r="G2"/>
  <c r="C2"/>
  <c r="R79" i="2"/>
  <c r="S79" s="1"/>
  <c r="M79" s="1"/>
  <c r="R72"/>
  <c r="S72" s="1"/>
  <c r="M72" s="1"/>
  <c r="R65"/>
  <c r="S65" s="1"/>
  <c r="M65" s="1"/>
  <c r="V114" l="1"/>
  <c r="R156"/>
  <c r="S129"/>
  <c r="M129" s="1"/>
  <c r="T153" s="1"/>
  <c r="U153" s="1"/>
  <c r="V79"/>
  <c r="S114"/>
  <c r="M114" s="1"/>
  <c r="T114" s="1"/>
  <c r="T37"/>
  <c r="U37" s="1"/>
  <c r="T79"/>
  <c r="U79" s="1"/>
  <c r="BI377" i="3" s="1"/>
  <c r="V156" i="2" l="1"/>
  <c r="T156"/>
  <c r="BI376" i="3"/>
  <c r="BJ376" s="1"/>
  <c r="U114" i="2"/>
  <c r="BI378" i="3" s="1"/>
  <c r="BJ378" s="1"/>
  <c r="BJ377"/>
  <c r="U156" i="2" l="1"/>
  <c r="B32" i="3" s="1"/>
  <c r="BI379"/>
  <c r="BJ379" s="1"/>
  <c r="BI375" l="1"/>
  <c r="BJ375" s="1"/>
</calcChain>
</file>

<file path=xl/sharedStrings.xml><?xml version="1.0" encoding="utf-8"?>
<sst xmlns="http://schemas.openxmlformats.org/spreadsheetml/2006/main" count="261" uniqueCount="192">
  <si>
    <t>TEST THEORIQUE D'HABILITATION</t>
  </si>
  <si>
    <t>NOM :</t>
  </si>
  <si>
    <t>PRENOM :</t>
  </si>
  <si>
    <t>Prise en compte des questions éliminatoires</t>
  </si>
  <si>
    <t>Abstraction des                    questions éliminatoires</t>
  </si>
  <si>
    <t>Réponses correctes :</t>
  </si>
  <si>
    <t>Réponses incorrectes :</t>
  </si>
  <si>
    <t>Répondre aux questions en mettant une croix (lettre "x") dans la case correspondante.</t>
  </si>
  <si>
    <t>Aucune mauvaise réponse aux questions fondamentales (repérées QCMF).</t>
  </si>
  <si>
    <t>Le test est acquis pour une réussite supérieure ou égale à 70 %.</t>
  </si>
  <si>
    <t>LES DANGERS DE L'ELECTRICITE</t>
  </si>
  <si>
    <t>QCM 1</t>
  </si>
  <si>
    <t>x</t>
  </si>
  <si>
    <t>QCM 2</t>
  </si>
  <si>
    <t>OUI</t>
  </si>
  <si>
    <t>NON</t>
  </si>
  <si>
    <t>QCM 3</t>
  </si>
  <si>
    <t>QCM 4</t>
  </si>
  <si>
    <t>LES DISTANCES ET LES ZONES D'ENVIRONNEMENT</t>
  </si>
  <si>
    <t>QCM 7</t>
  </si>
  <si>
    <t>QCM 8</t>
  </si>
  <si>
    <t>QCM 10</t>
  </si>
  <si>
    <t>QCM 11</t>
  </si>
  <si>
    <t>QCM F 12</t>
  </si>
  <si>
    <t>QCM 13</t>
  </si>
  <si>
    <t>QCM 14</t>
  </si>
  <si>
    <t>Bonnes réponses</t>
  </si>
  <si>
    <t>Comparaison entre les croix mises par l'élève et les bonnes réponses</t>
  </si>
  <si>
    <t>Résultat de la question</t>
  </si>
  <si>
    <t>Rapport des bonnes réponses par domaine de connaissance</t>
  </si>
  <si>
    <t>Nombre de questions par domaine de connaissance</t>
  </si>
  <si>
    <t>Affectation du chiffre 1 aux bonnes questions fondamentales</t>
  </si>
  <si>
    <t>Les dangers de l'électricité</t>
  </si>
  <si>
    <t>Les distances et les zones d'environnement</t>
  </si>
  <si>
    <t>GLOBAL</t>
  </si>
  <si>
    <t>ATTRIBUTION D'UN AUTRE NOM</t>
  </si>
  <si>
    <t>FONCTION</t>
  </si>
  <si>
    <t xml:space="preserve">CHANGEMENT DE NOM DES CELLULES </t>
  </si>
  <si>
    <t>NOM INITIAL DE LA CELLULE</t>
  </si>
  <si>
    <t>EMPLACEMENT DE LA CELLULE</t>
  </si>
  <si>
    <t>Feuille "Renseignements"</t>
  </si>
  <si>
    <t>ARB0</t>
  </si>
  <si>
    <t>ABR</t>
  </si>
  <si>
    <t>NBQ_1</t>
  </si>
  <si>
    <t>Nombre de question dans le premier domaine de connaissance</t>
  </si>
  <si>
    <t>NBQ_2</t>
  </si>
  <si>
    <t>NBQ_3</t>
  </si>
  <si>
    <t>NBQT</t>
  </si>
  <si>
    <t>NBBR</t>
  </si>
  <si>
    <t>RBR_1</t>
  </si>
  <si>
    <t>Nombre de question dans le deuxième domaine de connaissance</t>
  </si>
  <si>
    <t>Nombre de question dans le troisième domaine de connaissance</t>
  </si>
  <si>
    <t>RBR_2</t>
  </si>
  <si>
    <t>RBR_3</t>
  </si>
  <si>
    <t>RBRT</t>
  </si>
  <si>
    <t>QCMF_1</t>
  </si>
  <si>
    <t>Affectation à 1 si les questions fondamentales du premier domaine de connaissance sont bonnes</t>
  </si>
  <si>
    <t>QCMF_2</t>
  </si>
  <si>
    <t>QCMF_3</t>
  </si>
  <si>
    <t>Affectation à 1 si les questions fondamentales du deuxième domaine de connaissance sont bonnes</t>
  </si>
  <si>
    <t>Affectation à 1 si les questions fondamentales du troisième domaine de connaissance sont bonnes</t>
  </si>
  <si>
    <t>QCMF</t>
  </si>
  <si>
    <t>Rapport de bonnes réponses sur le nombre de questions dans le premier domaine de connaissance</t>
  </si>
  <si>
    <t>Rapport de bonnes réponses sur le nombre de questions dans le deuxième domaine de connaissance</t>
  </si>
  <si>
    <t>Rapport de bonnes réponses sur le nombre de questions dans le troisième domaine de connaissance</t>
  </si>
  <si>
    <t>Date de naissance :</t>
  </si>
  <si>
    <t>DATE DE NAISSANCE :</t>
  </si>
  <si>
    <t>PROFESSEUR :</t>
  </si>
  <si>
    <t>DATE DE PASSAGE :</t>
  </si>
  <si>
    <t>H12</t>
  </si>
  <si>
    <t>H13</t>
  </si>
  <si>
    <t>H14</t>
  </si>
  <si>
    <t>H15</t>
  </si>
  <si>
    <t>NOM</t>
  </si>
  <si>
    <t>PRENOM</t>
  </si>
  <si>
    <t>DATE_NAISSANCE</t>
  </si>
  <si>
    <t>DATE_DE_PASSAGE</t>
  </si>
  <si>
    <t>Affiche le nom de l'apprenant dans la feuille "Résultats"</t>
  </si>
  <si>
    <t>Affiche le prénom de l'apprenant dans la feuille "Résultats"</t>
  </si>
  <si>
    <t>Affiche la date de naissance de l'apprenant dans la feuille "Résultats"</t>
  </si>
  <si>
    <t>Affiche la date de passage du test de l'apprenant dans la feuille "Résultats"</t>
  </si>
  <si>
    <t>Indiquez votre nom, prénom et dates de naissance et de passage, puis enregistrez ce fichier sous votre nom.                                                                                                             Noubliez pas d'enregistrer à nouveau avant de quitter.</t>
  </si>
  <si>
    <t>25 V ?</t>
  </si>
  <si>
    <t>50 V ?</t>
  </si>
  <si>
    <t>230 V ?</t>
  </si>
  <si>
    <t>30 cm ?</t>
  </si>
  <si>
    <t>50 cm ?</t>
  </si>
  <si>
    <t>1 m ?</t>
  </si>
  <si>
    <t>QCM 6</t>
  </si>
  <si>
    <t>QCM F 5</t>
  </si>
  <si>
    <t>QCM F 9</t>
  </si>
  <si>
    <t>LA LIMITE DES OPERATIONS D'ORDRE ELECTRIQUE, EN PRESENCE DE PNST</t>
  </si>
  <si>
    <t>LES MESURES DE PROTECTION</t>
  </si>
  <si>
    <t>QCM 16</t>
  </si>
  <si>
    <t>QCM 17</t>
  </si>
  <si>
    <t>QCM 18</t>
  </si>
  <si>
    <t>QCM 19</t>
  </si>
  <si>
    <t>QCM 20</t>
  </si>
  <si>
    <t>l'utilisateur ?</t>
  </si>
  <si>
    <t>le chargé de travaux ?</t>
  </si>
  <si>
    <t>l'employeur ?</t>
  </si>
  <si>
    <t>La limite des opérations d'ordre électrique</t>
  </si>
  <si>
    <t>Les mesures de protection</t>
  </si>
  <si>
    <t>QCMF_4</t>
  </si>
  <si>
    <t>Affectation à 1 si les questions fondamentales du quatrième domaine de connaissance sont bonnes</t>
  </si>
  <si>
    <t>V153</t>
  </si>
  <si>
    <t>RBR_4</t>
  </si>
  <si>
    <t>Rapport de bonnes réponses sur le nombre de questions dans le quatrième domaine de connaissance</t>
  </si>
  <si>
    <t>NBQ_4</t>
  </si>
  <si>
    <t>Nombre de question dans le quatrième domaine de connaissance</t>
  </si>
  <si>
    <t>T153</t>
  </si>
  <si>
    <t>U153</t>
  </si>
  <si>
    <t>T156</t>
  </si>
  <si>
    <t>R156</t>
  </si>
  <si>
    <t>U156</t>
  </si>
  <si>
    <t>V156</t>
  </si>
  <si>
    <t>B2V</t>
  </si>
  <si>
    <t>TEST THEORIQUE B2V</t>
  </si>
  <si>
    <t>En courant alternatif, quelles sont les limites du domaine de tension TBT ?</t>
  </si>
  <si>
    <t>De 0 V à 50 V inclus.</t>
  </si>
  <si>
    <t>Au-delà de 50 V et jusqu'à 1 000 V inclus.</t>
  </si>
  <si>
    <t>Au-delà de 1 000 V et jusqu'à 50 000 V inclus.</t>
  </si>
  <si>
    <t>Au-delà de 50 000 V.</t>
  </si>
  <si>
    <t>En courant alternatif, quelles sont les limites du domaine de tension BT ?</t>
  </si>
  <si>
    <t>La présence d'eau est un facteur aggravant lors de l'électrisation d'une personne ?</t>
  </si>
  <si>
    <t>Sur un chantier extérieur, la tension limite conventionnelle de contact en alternatif est de :</t>
  </si>
  <si>
    <t>12 V ?</t>
  </si>
  <si>
    <t>Une personne habilitée B2 doit rester à quelle distance minimale d'une pièce nue sous tension en basse tension :</t>
  </si>
  <si>
    <t>2 m ?</t>
  </si>
  <si>
    <t>En tant que chargé de travaux habilité B2, avez-vous le droit de coller une étiquette sur le couvercle d'une goulotte située à 20 cm d'un jeu de barre nue sous tension en basse tension ?</t>
  </si>
  <si>
    <t>Un de vos exécutants est habilité B1V, est-il autorisé à effectuer des travaux au voisinage d'appareillages IP1X ?</t>
  </si>
  <si>
    <t>Vous êtes chargé de travaux habilité B2V, pouvez-vous effectuer des travaux d'ordre électrique dans la zone de voisinage simple en haute tension ?</t>
  </si>
  <si>
    <t>La lettre "V" en basse tension signifie que l'habilité peut opérer dans :</t>
  </si>
  <si>
    <t>la zone 0 ?</t>
  </si>
  <si>
    <t>la zone 1 ?</t>
  </si>
  <si>
    <t>la zone 4 ?</t>
  </si>
  <si>
    <t>En tant que chargé de travaux, vous effectuez des travaux dans la zone de voisinage simple en basse tension, vous devez :</t>
  </si>
  <si>
    <t>maintenir votre personnel à l'extérieur de la zone 4 ?</t>
  </si>
  <si>
    <t>vous assurer que votre personnel doit être habilité B1 ?</t>
  </si>
  <si>
    <t>faire surveiller en permanence votre personnel par un surveillant de sécurité ?</t>
  </si>
  <si>
    <t>Un chargé de travaux B2V et un exécutant d'ordre électrique B1V doivent raccorder quelques câbles dans un coffret électrique à moins de 30 cm de pièces nues sous tension. Le chargé de travaux peut-il laisser seul l'exécutant effectuer le travail ?</t>
  </si>
  <si>
    <t>Le chargé de travaux a pour obligation à la fin des travaux de :</t>
  </si>
  <si>
    <t>déposer les mises à la terre et en court-circuit mises en place par le BC ?</t>
  </si>
  <si>
    <t>enlever le balisage de la zone de travail ?</t>
  </si>
  <si>
    <t>remettre l'attestation de consignation ?</t>
  </si>
  <si>
    <t>remettre l'avis de fin de travail ?</t>
  </si>
  <si>
    <t>Une personne habilitée B2V, peut-elle procéder à des mesurages en présence de tension en basse tension ?</t>
  </si>
  <si>
    <t>Après avoir reçu l'attestation de consignation d'une installation par le chargé de consignation BC, en tant que chargé de travaux, avez-vous pour obligation de vérifier l'absence de tension sur le lieu de travail ?</t>
  </si>
  <si>
    <t>Avant le début des travaux, la personne habilitée B2 doit :</t>
  </si>
  <si>
    <t>signer l'attestation de consignation ?</t>
  </si>
  <si>
    <t>délimiter la zone de travail ?</t>
  </si>
  <si>
    <t>demander à l'employeur de vérifier l'absence de tension sur le lieu de travail ?</t>
  </si>
  <si>
    <t>QCM F 15</t>
  </si>
  <si>
    <t>Le chargé de travaux a-t-il pour obligation de vérifier les titres d'habilitations des exécutants travaillants sous ses ordres ?</t>
  </si>
  <si>
    <t>Qui est responsable en premier lieu du bon état de l'outillage collectifs :</t>
  </si>
  <si>
    <t>Pour suprimer le voisinage électrique d'un jeu de barre nue sous tension en basse tension, le chargé de travaux devra :</t>
  </si>
  <si>
    <t>mettre une bâche en plastique ?</t>
  </si>
  <si>
    <t>être habilité B2 ?</t>
  </si>
  <si>
    <t>être habilité B2V ?</t>
  </si>
  <si>
    <t>porter ses EPI ?</t>
  </si>
  <si>
    <t>mettre une nappe isolante normalisée ?</t>
  </si>
  <si>
    <t>Pendant la durée des travaux d'ordre électrique, le chargé de travaux devra :</t>
  </si>
  <si>
    <t>veiller à la sécurité de ses exécutants ?</t>
  </si>
  <si>
    <t>s'assurer de sa propre sécurité ?</t>
  </si>
  <si>
    <t>faire respecter les limites de la zone de travail ?</t>
  </si>
  <si>
    <t>s'assurer de la bonne exécution des travaux ?</t>
  </si>
  <si>
    <t>Quelle est la mesure à prendre en priorité pour éliminer les risques électriques :</t>
  </si>
  <si>
    <t>consigner toutes les installations électriques ?</t>
  </si>
  <si>
    <t>poser des écrans ou des nappes ?</t>
  </si>
  <si>
    <t>faire porter des EPI ?</t>
  </si>
  <si>
    <t>Affichage du résultat du test B2V</t>
  </si>
  <si>
    <t>Affichage des bonnes ou mauvaises réponses dans la feuille "TEST B2V"</t>
  </si>
  <si>
    <t>Nombre de question total du test B2V</t>
  </si>
  <si>
    <t>Nombre de bonnes réponses du test B2V</t>
  </si>
  <si>
    <t>Rapport de bonnes réponses sur le nombre de questions dans le test B2V</t>
  </si>
  <si>
    <t>Affectation à 1 si les questions fondamentales du test B2V sont bonnes</t>
  </si>
  <si>
    <t>Feuille "TEST B2V"</t>
  </si>
  <si>
    <t>DIPLÔME : BTS CRSA</t>
  </si>
  <si>
    <t>F20</t>
  </si>
  <si>
    <t>M23</t>
  </si>
  <si>
    <t>T37</t>
  </si>
  <si>
    <t>T79</t>
  </si>
  <si>
    <t>T114</t>
  </si>
  <si>
    <t>U37</t>
  </si>
  <si>
    <t>U79</t>
  </si>
  <si>
    <t>U114</t>
  </si>
  <si>
    <t>V37</t>
  </si>
  <si>
    <t>V79</t>
  </si>
  <si>
    <t>V114</t>
  </si>
  <si>
    <t>Test global B2V</t>
  </si>
  <si>
    <t>Monsieur DEGORGUE FREDERIC</t>
  </si>
  <si>
    <t>LYCEE CARNOT BRUAY LA BUISSIERE</t>
  </si>
</sst>
</file>

<file path=xl/styles.xml><?xml version="1.0" encoding="utf-8"?>
<styleSheet xmlns="http://schemas.openxmlformats.org/spreadsheetml/2006/main">
  <numFmts count="2">
    <numFmt numFmtId="164" formatCode="0.0%"/>
    <numFmt numFmtId="165" formatCode="[$-F800]dddd\,\ mmmm\ dd\,\ yyyy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  <font>
      <sz val="11"/>
      <color rgb="FFFF66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CCCCFF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0">
    <xf numFmtId="0" fontId="0" fillId="0" borderId="0" xfId="0"/>
    <xf numFmtId="0" fontId="0" fillId="2" borderId="0" xfId="0" applyFill="1"/>
    <xf numFmtId="0" fontId="0" fillId="2" borderId="0" xfId="0" applyFill="1"/>
    <xf numFmtId="0" fontId="0" fillId="0" borderId="3" xfId="0" applyFill="1" applyBorder="1" applyProtection="1"/>
    <xf numFmtId="0" fontId="0" fillId="0" borderId="4" xfId="0" applyFill="1" applyBorder="1" applyProtection="1"/>
    <xf numFmtId="0" fontId="0" fillId="0" borderId="6" xfId="0" applyFill="1" applyBorder="1" applyProtection="1"/>
    <xf numFmtId="0" fontId="0" fillId="0" borderId="8" xfId="0" applyFill="1" applyBorder="1" applyProtection="1"/>
    <xf numFmtId="0" fontId="0" fillId="0" borderId="9" xfId="0" applyFill="1" applyBorder="1" applyProtection="1"/>
    <xf numFmtId="0" fontId="0" fillId="4" borderId="2" xfId="0" applyFill="1" applyBorder="1" applyProtection="1"/>
    <xf numFmtId="0" fontId="0" fillId="4" borderId="3" xfId="0" applyFill="1" applyBorder="1" applyProtection="1"/>
    <xf numFmtId="0" fontId="0" fillId="4" borderId="4" xfId="0" applyFill="1" applyBorder="1" applyProtection="1"/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6" xfId="0" applyFill="1" applyBorder="1" applyProtection="1"/>
    <xf numFmtId="0" fontId="0" fillId="4" borderId="7" xfId="0" applyFill="1" applyBorder="1" applyProtection="1"/>
    <xf numFmtId="0" fontId="0" fillId="4" borderId="8" xfId="0" applyFill="1" applyBorder="1" applyProtection="1"/>
    <xf numFmtId="0" fontId="0" fillId="4" borderId="9" xfId="0" applyFill="1" applyBorder="1" applyProtection="1"/>
    <xf numFmtId="0" fontId="0" fillId="6" borderId="2" xfId="0" applyFill="1" applyBorder="1" applyProtection="1"/>
    <xf numFmtId="0" fontId="0" fillId="6" borderId="3" xfId="0" applyFill="1" applyBorder="1" applyProtection="1"/>
    <xf numFmtId="0" fontId="0" fillId="6" borderId="4" xfId="0" applyFill="1" applyBorder="1" applyProtection="1"/>
    <xf numFmtId="0" fontId="0" fillId="6" borderId="5" xfId="0" applyFill="1" applyBorder="1" applyProtection="1"/>
    <xf numFmtId="0" fontId="0" fillId="6" borderId="0" xfId="0" applyFill="1" applyBorder="1" applyProtection="1"/>
    <xf numFmtId="0" fontId="0" fillId="6" borderId="6" xfId="0" applyFill="1" applyBorder="1" applyProtection="1"/>
    <xf numFmtId="0" fontId="0" fillId="6" borderId="7" xfId="0" applyFill="1" applyBorder="1" applyProtection="1"/>
    <xf numFmtId="0" fontId="0" fillId="6" borderId="8" xfId="0" applyFill="1" applyBorder="1" applyProtection="1"/>
    <xf numFmtId="0" fontId="0" fillId="6" borderId="9" xfId="0" applyFill="1" applyBorder="1" applyProtection="1"/>
    <xf numFmtId="0" fontId="0" fillId="5" borderId="5" xfId="0" applyFill="1" applyBorder="1" applyProtection="1"/>
    <xf numFmtId="0" fontId="0" fillId="5" borderId="0" xfId="0" applyFill="1" applyBorder="1" applyProtection="1"/>
    <xf numFmtId="0" fontId="0" fillId="5" borderId="6" xfId="0" applyFill="1" applyBorder="1" applyProtection="1"/>
    <xf numFmtId="0" fontId="0" fillId="5" borderId="7" xfId="0" applyFill="1" applyBorder="1" applyProtection="1"/>
    <xf numFmtId="0" fontId="0" fillId="5" borderId="8" xfId="0" applyFill="1" applyBorder="1" applyProtection="1"/>
    <xf numFmtId="0" fontId="0" fillId="5" borderId="9" xfId="0" applyFill="1" applyBorder="1" applyProtection="1"/>
    <xf numFmtId="0" fontId="2" fillId="0" borderId="1" xfId="0" applyFont="1" applyFill="1" applyBorder="1" applyAlignment="1" applyProtection="1">
      <alignment horizontal="center" vertical="center"/>
    </xf>
    <xf numFmtId="0" fontId="0" fillId="0" borderId="3" xfId="0" applyFill="1" applyBorder="1"/>
    <xf numFmtId="0" fontId="0" fillId="0" borderId="5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2" fillId="7" borderId="1" xfId="0" applyFont="1" applyFill="1" applyBorder="1" applyAlignment="1">
      <alignment horizontal="center"/>
    </xf>
    <xf numFmtId="0" fontId="0" fillId="0" borderId="10" xfId="0" applyFill="1" applyBorder="1" applyAlignment="1" applyProtection="1">
      <alignment horizontal="center" vertical="center"/>
      <protection locked="0"/>
    </xf>
    <xf numFmtId="0" fontId="2" fillId="8" borderId="1" xfId="0" applyFont="1" applyFill="1" applyBorder="1" applyAlignment="1">
      <alignment horizontal="center"/>
    </xf>
    <xf numFmtId="0" fontId="0" fillId="2" borderId="0" xfId="0" applyFill="1"/>
    <xf numFmtId="0" fontId="8" fillId="6" borderId="0" xfId="0" applyFont="1" applyFill="1" applyBorder="1" applyProtection="1">
      <protection locked="0"/>
    </xf>
    <xf numFmtId="0" fontId="0" fillId="0" borderId="10" xfId="0" applyFill="1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2" borderId="0" xfId="0" applyFill="1" applyAlignment="1">
      <alignment horizontal="center" vertical="top"/>
    </xf>
    <xf numFmtId="0" fontId="0" fillId="10" borderId="0" xfId="0" applyFill="1" applyAlignment="1">
      <alignment horizontal="center" vertical="top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0" borderId="12" xfId="0" applyBorder="1"/>
    <xf numFmtId="0" fontId="0" fillId="0" borderId="14" xfId="0" applyBorder="1"/>
    <xf numFmtId="0" fontId="0" fillId="0" borderId="13" xfId="0" applyBorder="1"/>
    <xf numFmtId="0" fontId="0" fillId="14" borderId="0" xfId="0" applyFill="1"/>
    <xf numFmtId="0" fontId="0" fillId="2" borderId="0" xfId="0" applyFill="1" applyBorder="1"/>
    <xf numFmtId="0" fontId="0" fillId="2" borderId="1" xfId="0" applyFill="1" applyBorder="1"/>
    <xf numFmtId="0" fontId="2" fillId="2" borderId="0" xfId="0" applyFont="1" applyFill="1"/>
    <xf numFmtId="0" fontId="2" fillId="0" borderId="1" xfId="0" applyFont="1" applyFill="1" applyBorder="1"/>
    <xf numFmtId="0" fontId="0" fillId="0" borderId="1" xfId="0" applyFill="1" applyBorder="1"/>
    <xf numFmtId="0" fontId="2" fillId="2" borderId="0" xfId="0" applyFont="1" applyFill="1" applyAlignment="1">
      <alignment horizontal="center"/>
    </xf>
    <xf numFmtId="0" fontId="2" fillId="10" borderId="1" xfId="0" applyFont="1" applyFill="1" applyBorder="1" applyAlignment="1">
      <alignment horizontal="center" vertical="top"/>
    </xf>
    <xf numFmtId="0" fontId="2" fillId="12" borderId="1" xfId="0" applyFont="1" applyFill="1" applyBorder="1"/>
    <xf numFmtId="0" fontId="2" fillId="13" borderId="1" xfId="0" applyFont="1" applyFill="1" applyBorder="1"/>
    <xf numFmtId="0" fontId="2" fillId="14" borderId="1" xfId="0" applyFont="1" applyFill="1" applyBorder="1"/>
    <xf numFmtId="0" fontId="2" fillId="0" borderId="1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9" fontId="0" fillId="2" borderId="1" xfId="1" applyNumberFormat="1" applyFont="1" applyFill="1" applyBorder="1"/>
    <xf numFmtId="9" fontId="0" fillId="2" borderId="4" xfId="1" applyNumberFormat="1" applyFont="1" applyFill="1" applyBorder="1"/>
    <xf numFmtId="9" fontId="0" fillId="2" borderId="9" xfId="1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14" fontId="2" fillId="0" borderId="1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 applyProtection="1">
      <alignment horizontal="left" vertical="center" wrapText="1"/>
    </xf>
    <xf numFmtId="0" fontId="0" fillId="0" borderId="11" xfId="0" applyFill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0" fillId="0" borderId="6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center"/>
    </xf>
    <xf numFmtId="9" fontId="0" fillId="2" borderId="1" xfId="1" applyFont="1" applyFill="1" applyBorder="1"/>
    <xf numFmtId="0" fontId="8" fillId="6" borderId="6" xfId="0" applyFont="1" applyFill="1" applyBorder="1" applyProtection="1"/>
    <xf numFmtId="14" fontId="0" fillId="0" borderId="12" xfId="0" applyNumberFormat="1" applyFill="1" applyBorder="1" applyAlignment="1" applyProtection="1">
      <alignment horizontal="center" vertical="center"/>
      <protection locked="0"/>
    </xf>
    <xf numFmtId="14" fontId="0" fillId="0" borderId="14" xfId="0" applyNumberFormat="1" applyFill="1" applyBorder="1" applyAlignment="1" applyProtection="1">
      <alignment horizontal="center" vertical="center"/>
      <protection locked="0"/>
    </xf>
    <xf numFmtId="14" fontId="0" fillId="0" borderId="13" xfId="0" applyNumberFormat="1" applyFill="1" applyBorder="1" applyAlignment="1" applyProtection="1">
      <alignment horizontal="center" vertical="center"/>
      <protection locked="0"/>
    </xf>
    <xf numFmtId="0" fontId="0" fillId="2" borderId="0" xfId="0" applyFont="1" applyFill="1" applyBorder="1" applyAlignment="1" applyProtection="1">
      <alignment horizontal="left" vertical="center" wrapText="1"/>
    </xf>
    <xf numFmtId="0" fontId="0" fillId="0" borderId="0" xfId="0" applyFill="1" applyBorder="1" applyAlignment="1" applyProtection="1">
      <alignment horizontal="left" vertical="center" wrapText="1"/>
    </xf>
    <xf numFmtId="0" fontId="0" fillId="0" borderId="0" xfId="0" applyFont="1" applyFill="1" applyBorder="1" applyAlignment="1" applyProtection="1">
      <alignment horizontal="left" vertical="center" wrapText="1"/>
    </xf>
    <xf numFmtId="0" fontId="2" fillId="0" borderId="12" xfId="0" applyFont="1" applyFill="1" applyBorder="1" applyAlignment="1" applyProtection="1">
      <alignment horizontal="center" vertical="center"/>
    </xf>
    <xf numFmtId="0" fontId="2" fillId="0" borderId="13" xfId="0" applyFont="1" applyFill="1" applyBorder="1" applyAlignment="1" applyProtection="1">
      <alignment horizontal="center"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6" xfId="0" applyFill="1" applyBorder="1" applyAlignment="1" applyProtection="1">
      <alignment horizontal="left" vertical="center"/>
    </xf>
    <xf numFmtId="0" fontId="0" fillId="0" borderId="7" xfId="0" applyFill="1" applyBorder="1" applyAlignment="1" applyProtection="1">
      <alignment horizontal="left" vertical="center"/>
    </xf>
    <xf numFmtId="0" fontId="0" fillId="0" borderId="8" xfId="0" applyFill="1" applyBorder="1" applyAlignment="1" applyProtection="1">
      <alignment horizontal="left" vertical="center"/>
    </xf>
    <xf numFmtId="0" fontId="0" fillId="0" borderId="9" xfId="0" applyFill="1" applyBorder="1" applyAlignment="1" applyProtection="1">
      <alignment horizontal="left" vertical="center"/>
    </xf>
    <xf numFmtId="0" fontId="6" fillId="3" borderId="2" xfId="0" applyFont="1" applyFill="1" applyBorder="1" applyAlignment="1" applyProtection="1">
      <alignment horizontal="center" vertical="center"/>
    </xf>
    <xf numFmtId="0" fontId="6" fillId="3" borderId="3" xfId="0" applyFont="1" applyFill="1" applyBorder="1" applyAlignment="1" applyProtection="1">
      <alignment horizontal="center" vertical="center"/>
    </xf>
    <xf numFmtId="0" fontId="6" fillId="3" borderId="4" xfId="0" applyFont="1" applyFill="1" applyBorder="1" applyAlignment="1" applyProtection="1">
      <alignment horizontal="center" vertical="center"/>
    </xf>
    <xf numFmtId="0" fontId="6" fillId="3" borderId="5" xfId="0" applyFont="1" applyFill="1" applyBorder="1" applyAlignment="1" applyProtection="1">
      <alignment horizontal="center" vertical="center"/>
    </xf>
    <xf numFmtId="0" fontId="6" fillId="3" borderId="0" xfId="0" applyFont="1" applyFill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/>
    </xf>
    <xf numFmtId="0" fontId="6" fillId="3" borderId="8" xfId="0" applyFont="1" applyFill="1" applyBorder="1" applyAlignment="1" applyProtection="1">
      <alignment horizontal="center" vertical="center"/>
    </xf>
    <xf numFmtId="0" fontId="6" fillId="3" borderId="9" xfId="0" applyFont="1" applyFill="1" applyBorder="1" applyAlignment="1" applyProtection="1">
      <alignment horizontal="center" vertical="center"/>
    </xf>
    <xf numFmtId="0" fontId="0" fillId="0" borderId="2" xfId="0" applyFill="1" applyBorder="1" applyAlignment="1" applyProtection="1">
      <alignment horizontal="center" vertical="center"/>
    </xf>
    <xf numFmtId="0" fontId="0" fillId="0" borderId="3" xfId="0" applyFill="1" applyBorder="1" applyAlignment="1" applyProtection="1">
      <alignment horizontal="center" vertical="center"/>
    </xf>
    <xf numFmtId="0" fontId="0" fillId="0" borderId="5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4" xfId="0" applyFont="1" applyFill="1" applyBorder="1" applyAlignment="1" applyProtection="1">
      <alignment horizontal="center" vertical="center"/>
    </xf>
    <xf numFmtId="0" fontId="7" fillId="0" borderId="5" xfId="0" applyFont="1" applyFill="1" applyBorder="1" applyAlignment="1" applyProtection="1">
      <alignment horizontal="center" vertical="center"/>
    </xf>
    <xf numFmtId="0" fontId="7" fillId="0" borderId="6" xfId="0" applyFont="1" applyFill="1" applyBorder="1" applyAlignment="1" applyProtection="1">
      <alignment horizontal="center" vertical="center"/>
    </xf>
    <xf numFmtId="0" fontId="7" fillId="0" borderId="7" xfId="0" applyFont="1" applyFill="1" applyBorder="1" applyAlignment="1" applyProtection="1">
      <alignment horizontal="center" vertical="center"/>
    </xf>
    <xf numFmtId="0" fontId="7" fillId="0" borderId="9" xfId="0" applyFont="1" applyFill="1" applyBorder="1" applyAlignment="1" applyProtection="1">
      <alignment horizontal="center" vertical="center"/>
    </xf>
    <xf numFmtId="164" fontId="7" fillId="0" borderId="2" xfId="1" applyNumberFormat="1" applyFont="1" applyFill="1" applyBorder="1" applyAlignment="1" applyProtection="1">
      <alignment horizontal="center" vertical="center"/>
    </xf>
    <xf numFmtId="164" fontId="7" fillId="0" borderId="3" xfId="1" applyNumberFormat="1" applyFont="1" applyFill="1" applyBorder="1" applyAlignment="1" applyProtection="1">
      <alignment horizontal="center" vertical="center"/>
    </xf>
    <xf numFmtId="164" fontId="7" fillId="0" borderId="4" xfId="1" applyNumberFormat="1" applyFont="1" applyFill="1" applyBorder="1" applyAlignment="1" applyProtection="1">
      <alignment horizontal="center" vertical="center"/>
    </xf>
    <xf numFmtId="164" fontId="7" fillId="0" borderId="5" xfId="1" applyNumberFormat="1" applyFont="1" applyFill="1" applyBorder="1" applyAlignment="1" applyProtection="1">
      <alignment horizontal="center" vertical="center"/>
    </xf>
    <xf numFmtId="164" fontId="7" fillId="0" borderId="0" xfId="1" applyNumberFormat="1" applyFont="1" applyFill="1" applyBorder="1" applyAlignment="1" applyProtection="1">
      <alignment horizontal="center" vertical="center"/>
    </xf>
    <xf numFmtId="164" fontId="7" fillId="0" borderId="6" xfId="1" applyNumberFormat="1" applyFont="1" applyFill="1" applyBorder="1" applyAlignment="1" applyProtection="1">
      <alignment horizontal="center" vertical="center"/>
    </xf>
    <xf numFmtId="164" fontId="7" fillId="0" borderId="7" xfId="1" applyNumberFormat="1" applyFont="1" applyFill="1" applyBorder="1" applyAlignment="1" applyProtection="1">
      <alignment horizontal="center" vertical="center"/>
    </xf>
    <xf numFmtId="164" fontId="7" fillId="0" borderId="8" xfId="1" applyNumberFormat="1" applyFont="1" applyFill="1" applyBorder="1" applyAlignment="1" applyProtection="1">
      <alignment horizontal="center" vertical="center"/>
    </xf>
    <xf numFmtId="164" fontId="7" fillId="0" borderId="9" xfId="1" applyNumberFormat="1" applyFont="1" applyFill="1" applyBorder="1" applyAlignment="1" applyProtection="1">
      <alignment horizontal="center" vertical="center"/>
    </xf>
    <xf numFmtId="0" fontId="5" fillId="0" borderId="2" xfId="0" applyFont="1" applyFill="1" applyBorder="1" applyAlignment="1" applyProtection="1">
      <alignment horizontal="center" vertical="center" wrapText="1"/>
    </xf>
    <xf numFmtId="0" fontId="5" fillId="0" borderId="3" xfId="0" applyFont="1" applyFill="1" applyBorder="1" applyAlignment="1" applyProtection="1">
      <alignment horizontal="center" vertical="center" wrapText="1"/>
    </xf>
    <xf numFmtId="0" fontId="5" fillId="0" borderId="4" xfId="0" applyFont="1" applyFill="1" applyBorder="1" applyAlignment="1" applyProtection="1">
      <alignment horizontal="center" vertical="center" wrapText="1"/>
    </xf>
    <xf numFmtId="0" fontId="5" fillId="0" borderId="5" xfId="0" applyFont="1" applyFill="1" applyBorder="1" applyAlignment="1" applyProtection="1">
      <alignment horizontal="center" vertical="center" wrapText="1"/>
    </xf>
    <xf numFmtId="0" fontId="5" fillId="0" borderId="0" xfId="0" applyFont="1" applyFill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center" wrapText="1"/>
    </xf>
    <xf numFmtId="0" fontId="5" fillId="0" borderId="7" xfId="0" applyFont="1" applyFill="1" applyBorder="1" applyAlignment="1" applyProtection="1">
      <alignment horizontal="center" vertical="center" wrapText="1"/>
    </xf>
    <xf numFmtId="0" fontId="5" fillId="0" borderId="8" xfId="0" applyFont="1" applyFill="1" applyBorder="1" applyAlignment="1" applyProtection="1">
      <alignment horizontal="center" vertical="center" wrapText="1"/>
    </xf>
    <xf numFmtId="0" fontId="5" fillId="0" borderId="9" xfId="0" applyFont="1" applyFill="1" applyBorder="1" applyAlignment="1" applyProtection="1">
      <alignment horizontal="center" vertical="center" wrapText="1"/>
    </xf>
    <xf numFmtId="0" fontId="0" fillId="0" borderId="2" xfId="0" applyFill="1" applyBorder="1" applyAlignment="1" applyProtection="1">
      <alignment horizontal="left" vertical="center"/>
    </xf>
    <xf numFmtId="0" fontId="0" fillId="0" borderId="3" xfId="0" applyFill="1" applyBorder="1" applyAlignment="1" applyProtection="1">
      <alignment horizontal="left" vertical="center"/>
    </xf>
    <xf numFmtId="0" fontId="0" fillId="0" borderId="4" xfId="0" applyFill="1" applyBorder="1" applyAlignment="1" applyProtection="1">
      <alignment horizontal="left" vertical="center"/>
    </xf>
    <xf numFmtId="0" fontId="0" fillId="0" borderId="12" xfId="0" applyFill="1" applyBorder="1" applyAlignment="1" applyProtection="1">
      <alignment horizontal="center" vertical="center"/>
      <protection locked="0"/>
    </xf>
    <xf numFmtId="0" fontId="0" fillId="0" borderId="14" xfId="0" applyFill="1" applyBorder="1" applyAlignment="1" applyProtection="1">
      <alignment horizontal="center" vertical="center"/>
      <protection locked="0"/>
    </xf>
    <xf numFmtId="0" fontId="0" fillId="0" borderId="13" xfId="0" applyFill="1" applyBorder="1" applyAlignment="1" applyProtection="1">
      <alignment horizontal="center" vertical="center"/>
      <protection locked="0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1" xfId="0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6" xfId="0" applyFill="1" applyBorder="1" applyAlignment="1">
      <alignment horizontal="left" vertical="center"/>
    </xf>
    <xf numFmtId="0" fontId="2" fillId="0" borderId="3" xfId="0" applyFont="1" applyFill="1" applyBorder="1" applyAlignment="1">
      <alignment horizontal="left" vertical="center" wrapText="1"/>
    </xf>
    <xf numFmtId="0" fontId="2" fillId="0" borderId="4" xfId="0" applyFont="1" applyFill="1" applyBorder="1" applyAlignment="1">
      <alignment horizontal="left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2" fillId="0" borderId="6" xfId="0" applyFont="1" applyFill="1" applyBorder="1" applyAlignment="1">
      <alignment horizontal="left" vertical="center" wrapText="1"/>
    </xf>
    <xf numFmtId="0" fontId="0" fillId="0" borderId="0" xfId="0" applyFont="1" applyFill="1" applyBorder="1" applyAlignment="1">
      <alignment horizontal="left" vertical="center"/>
    </xf>
    <xf numFmtId="0" fontId="0" fillId="0" borderId="6" xfId="0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2" fillId="14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/>
    </xf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2" fillId="13" borderId="0" xfId="0" applyFont="1" applyFill="1" applyAlignment="1">
      <alignment horizontal="center" vertical="top" wrapText="1"/>
    </xf>
    <xf numFmtId="0" fontId="2" fillId="0" borderId="3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6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left" vertical="top" wrapText="1"/>
    </xf>
    <xf numFmtId="0" fontId="2" fillId="0" borderId="4" xfId="0" applyFont="1" applyFill="1" applyBorder="1" applyAlignment="1">
      <alignment horizontal="left" vertical="top" wrapText="1"/>
    </xf>
    <xf numFmtId="0" fontId="2" fillId="0" borderId="0" xfId="0" applyFont="1" applyFill="1" applyBorder="1" applyAlignment="1">
      <alignment horizontal="left" vertical="top" wrapText="1"/>
    </xf>
    <xf numFmtId="0" fontId="2" fillId="0" borderId="6" xfId="0" applyFont="1" applyFill="1" applyBorder="1" applyAlignment="1">
      <alignment horizontal="left" vertical="top" wrapText="1"/>
    </xf>
    <xf numFmtId="0" fontId="2" fillId="0" borderId="12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vertical="center" wrapText="1"/>
    </xf>
    <xf numFmtId="0" fontId="2" fillId="0" borderId="13" xfId="0" applyFont="1" applyFill="1" applyBorder="1" applyAlignment="1">
      <alignment horizontal="center" vertical="center" wrapText="1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165" fontId="2" fillId="0" borderId="12" xfId="0" applyNumberFormat="1" applyFont="1" applyFill="1" applyBorder="1" applyAlignment="1">
      <alignment horizontal="center" vertical="center"/>
    </xf>
    <xf numFmtId="165" fontId="2" fillId="0" borderId="14" xfId="0" applyNumberFormat="1" applyFont="1" applyFill="1" applyBorder="1" applyAlignment="1">
      <alignment horizontal="center" vertical="center"/>
    </xf>
    <xf numFmtId="165" fontId="2" fillId="0" borderId="13" xfId="0" applyNumberFormat="1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</cellXfs>
  <cellStyles count="2">
    <cellStyle name="Normal" xfId="0" builtinId="0"/>
    <cellStyle name="Pourcentage" xfId="1" builtinId="5"/>
  </cellStyles>
  <dxfs count="0"/>
  <tableStyles count="0" defaultTableStyle="TableStyleMedium9" defaultPivotStyle="PivotStyleLight16"/>
  <colors>
    <mruColors>
      <color rgb="FFFFFF99"/>
      <color rgb="FFFFFFCC"/>
      <color rgb="FFFFFFFF"/>
      <color rgb="FFCCCCFF"/>
      <color rgb="FFFF00FF"/>
      <color rgb="FFCCFF33"/>
      <color rgb="FFFFCCFF"/>
      <color rgb="FF66FF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FF0000"/>
                </a:solidFill>
              </a:rPr>
              <a:t>Résultat du test théorique B2V</a:t>
            </a:r>
            <a:r>
              <a:rPr lang="fr-FR" baseline="0">
                <a:solidFill>
                  <a:srgbClr val="FF0000"/>
                </a:solidFill>
              </a:rPr>
              <a:t> et résultat par domaine de connaissance</a:t>
            </a:r>
            <a:endParaRPr lang="fr-FR">
              <a:solidFill>
                <a:srgbClr val="FF0000"/>
              </a:solidFill>
            </a:endParaRPr>
          </a:p>
        </c:rich>
      </c:tx>
    </c:title>
    <c:plotArea>
      <c:layout>
        <c:manualLayout>
          <c:layoutTarget val="inner"/>
          <c:xMode val="edge"/>
          <c:yMode val="edge"/>
          <c:x val="5.3693525901659329E-2"/>
          <c:y val="8.4913180640693531E-2"/>
          <c:w val="0.63179816356112972"/>
          <c:h val="0.57576735318508665"/>
        </c:manualLayout>
      </c:layout>
      <c:barChart>
        <c:barDir val="col"/>
        <c:grouping val="clustered"/>
        <c:ser>
          <c:idx val="0"/>
          <c:order val="0"/>
          <c:tx>
            <c:v>Abstraction des questions fondamentales</c:v>
          </c:tx>
          <c:spPr>
            <a:solidFill>
              <a:srgbClr val="FFFF99"/>
            </a:solidFill>
          </c:spPr>
          <c:dLbls>
            <c:showVal val="1"/>
          </c:dLbls>
          <c:cat>
            <c:strRef>
              <c:f>Résultats!$BH$375:$BH$379</c:f>
              <c:strCache>
                <c:ptCount val="5"/>
                <c:pt idx="0">
                  <c:v>Test global B2V</c:v>
                </c:pt>
                <c:pt idx="1">
                  <c:v>Les dangers de l'électricité</c:v>
                </c:pt>
                <c:pt idx="2">
                  <c:v>Les distances et les zones d'environnement</c:v>
                </c:pt>
                <c:pt idx="3">
                  <c:v>La limite des opérations d'ordre électrique</c:v>
                </c:pt>
                <c:pt idx="4">
                  <c:v>Les mesures de protection</c:v>
                </c:pt>
              </c:strCache>
            </c:strRef>
          </c:cat>
          <c:val>
            <c:numRef>
              <c:f>Résultats!$BI$375:$BI$379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Prise en compte des questions fondamentales</c:v>
          </c:tx>
          <c:dLbls>
            <c:showVal val="1"/>
          </c:dLbls>
          <c:cat>
            <c:strRef>
              <c:f>Résultats!$BH$375:$BH$379</c:f>
              <c:strCache>
                <c:ptCount val="5"/>
                <c:pt idx="0">
                  <c:v>Test global B2V</c:v>
                </c:pt>
                <c:pt idx="1">
                  <c:v>Les dangers de l'électricité</c:v>
                </c:pt>
                <c:pt idx="2">
                  <c:v>Les distances et les zones d'environnement</c:v>
                </c:pt>
                <c:pt idx="3">
                  <c:v>La limite des opérations d'ordre électrique</c:v>
                </c:pt>
                <c:pt idx="4">
                  <c:v>Les mesures de protection</c:v>
                </c:pt>
              </c:strCache>
            </c:strRef>
          </c:cat>
          <c:val>
            <c:numRef>
              <c:f>Résultats!$BJ$375:$BJ$379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Val val="1"/>
        </c:dLbls>
        <c:axId val="201156864"/>
        <c:axId val="201592832"/>
      </c:barChart>
      <c:catAx>
        <c:axId val="201156864"/>
        <c:scaling>
          <c:orientation val="minMax"/>
        </c:scaling>
        <c:axPos val="b"/>
        <c:tickLblPos val="nextTo"/>
        <c:txPr>
          <a:bodyPr rot="-2700000"/>
          <a:lstStyle/>
          <a:p>
            <a:pPr>
              <a:defRPr/>
            </a:pPr>
            <a:endParaRPr lang="fr-FR"/>
          </a:p>
        </c:txPr>
        <c:crossAx val="201592832"/>
        <c:crosses val="autoZero"/>
        <c:auto val="1"/>
        <c:lblAlgn val="ctr"/>
        <c:lblOffset val="100"/>
      </c:catAx>
      <c:valAx>
        <c:axId val="201592832"/>
        <c:scaling>
          <c:orientation val="minMax"/>
        </c:scaling>
        <c:axPos val="l"/>
        <c:majorGridlines/>
        <c:numFmt formatCode="0%" sourceLinked="1"/>
        <c:tickLblPos val="nextTo"/>
        <c:crossAx val="2011568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998176864639547"/>
          <c:y val="0.88635632272350318"/>
          <c:w val="0.28660279044066905"/>
          <c:h val="7.8535997332581098E-2"/>
        </c:manualLayout>
      </c:layout>
    </c:legend>
    <c:plotVisOnly val="1"/>
    <c:dispBlanksAs val="gap"/>
  </c:chart>
  <c:printSettings>
    <c:headerFooter/>
    <c:pageMargins b="0.750000000000001" l="0.70000000000000062" r="0.70000000000000062" t="0.750000000000001" header="0.30000000000000032" footer="0.30000000000000032"/>
    <c:pageSetup paperSize="9" orientation="landscape" horizontalDpi="-3" verticalDpi="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133350</xdr:colOff>
      <xdr:row>2</xdr:row>
      <xdr:rowOff>28575</xdr:rowOff>
    </xdr:from>
    <xdr:to>
      <xdr:col>5</xdr:col>
      <xdr:colOff>390524</xdr:colOff>
      <xdr:row>6</xdr:row>
      <xdr:rowOff>171291</xdr:rowOff>
    </xdr:to>
    <xdr:pic>
      <xdr:nvPicPr>
        <xdr:cNvPr id="2" name="Image 1" descr="logo lille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19350" y="419100"/>
          <a:ext cx="1781174" cy="904716"/>
        </a:xfrm>
        <a:prstGeom prst="rect">
          <a:avLst/>
        </a:prstGeom>
      </xdr:spPr>
    </xdr:pic>
    <xdr:clientData/>
  </xdr:twoCellAnchor>
  <xdr:twoCellAnchor editAs="oneCell">
    <xdr:from>
      <xdr:col>10</xdr:col>
      <xdr:colOff>581025</xdr:colOff>
      <xdr:row>2</xdr:row>
      <xdr:rowOff>9525</xdr:rowOff>
    </xdr:from>
    <xdr:to>
      <xdr:col>12</xdr:col>
      <xdr:colOff>751860</xdr:colOff>
      <xdr:row>6</xdr:row>
      <xdr:rowOff>186390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58150" y="400050"/>
          <a:ext cx="1694835" cy="9388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942975</xdr:colOff>
      <xdr:row>2</xdr:row>
      <xdr:rowOff>9525</xdr:rowOff>
    </xdr:from>
    <xdr:to>
      <xdr:col>12</xdr:col>
      <xdr:colOff>0</xdr:colOff>
      <xdr:row>29</xdr:row>
      <xdr:rowOff>180975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609600</xdr:colOff>
      <xdr:row>6</xdr:row>
      <xdr:rowOff>47625</xdr:rowOff>
    </xdr:from>
    <xdr:to>
      <xdr:col>11</xdr:col>
      <xdr:colOff>990600</xdr:colOff>
      <xdr:row>12</xdr:row>
      <xdr:rowOff>51118</xdr:rowOff>
    </xdr:to>
    <xdr:pic>
      <xdr:nvPicPr>
        <xdr:cNvPr id="6" name="Image 5" descr="logo lille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220075" y="1066800"/>
          <a:ext cx="1733550" cy="1184593"/>
        </a:xfrm>
        <a:prstGeom prst="rect">
          <a:avLst/>
        </a:prstGeom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0.79088</cdr:x>
      <cdr:y>0.37351</cdr:y>
    </cdr:from>
    <cdr:to>
      <cdr:x>0.97805</cdr:x>
      <cdr:y>0.53474</cdr:y>
    </cdr:to>
    <cdr:pic>
      <cdr:nvPicPr>
        <cdr:cNvPr id="2" name="Image 1" descr="005-Logo_New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7156450" y="2184400"/>
          <a:ext cx="1693648" cy="942975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cdr:spPr>
    </cdr:pic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D2:S31"/>
  <sheetViews>
    <sheetView showGridLines="0" showRowColHeaders="0" tabSelected="1" workbookViewId="0">
      <selection activeCell="F20" sqref="F20"/>
    </sheetView>
  </sheetViews>
  <sheetFormatPr baseColWidth="10" defaultRowHeight="15"/>
  <cols>
    <col min="1" max="5" width="11.42578125" style="1"/>
    <col min="6" max="6" width="9.28515625" style="1" customWidth="1"/>
    <col min="7" max="16384" width="11.42578125" style="1"/>
  </cols>
  <sheetData>
    <row r="2" spans="4:19" ht="15.75" thickBot="1"/>
    <row r="3" spans="4:19">
      <c r="D3" s="105"/>
      <c r="E3" s="106"/>
      <c r="F3" s="106"/>
      <c r="G3" s="3"/>
      <c r="H3" s="3"/>
      <c r="I3" s="3"/>
      <c r="J3" s="3"/>
      <c r="K3" s="3"/>
      <c r="L3" s="3"/>
      <c r="M3" s="4"/>
      <c r="O3" s="85"/>
      <c r="P3" s="85"/>
      <c r="Q3" s="85"/>
      <c r="R3" s="85"/>
      <c r="S3" s="85"/>
    </row>
    <row r="4" spans="4:19">
      <c r="D4" s="107"/>
      <c r="E4" s="108"/>
      <c r="F4" s="108"/>
      <c r="G4" s="86" t="s">
        <v>81</v>
      </c>
      <c r="H4" s="87"/>
      <c r="I4" s="87"/>
      <c r="J4" s="87"/>
      <c r="K4" s="87"/>
      <c r="L4" s="75"/>
      <c r="M4" s="5"/>
      <c r="O4" s="85"/>
      <c r="P4" s="85"/>
      <c r="Q4" s="85"/>
      <c r="R4" s="85"/>
      <c r="S4" s="85"/>
    </row>
    <row r="5" spans="4:19">
      <c r="D5" s="107"/>
      <c r="E5" s="108"/>
      <c r="F5" s="108"/>
      <c r="G5" s="87"/>
      <c r="H5" s="87"/>
      <c r="I5" s="87"/>
      <c r="J5" s="87"/>
      <c r="K5" s="87"/>
      <c r="L5" s="75"/>
      <c r="M5" s="5"/>
      <c r="O5" s="85"/>
      <c r="P5" s="85"/>
      <c r="Q5" s="85"/>
      <c r="R5" s="85"/>
      <c r="S5" s="85"/>
    </row>
    <row r="6" spans="4:19">
      <c r="D6" s="107"/>
      <c r="E6" s="108"/>
      <c r="F6" s="108"/>
      <c r="G6" s="87"/>
      <c r="H6" s="87"/>
      <c r="I6" s="87"/>
      <c r="J6" s="87"/>
      <c r="K6" s="87"/>
      <c r="L6" s="75"/>
      <c r="M6" s="5"/>
    </row>
    <row r="7" spans="4:19" ht="15.75" thickBot="1">
      <c r="D7" s="109"/>
      <c r="E7" s="110"/>
      <c r="F7" s="110"/>
      <c r="G7" s="6"/>
      <c r="H7" s="6"/>
      <c r="I7" s="6"/>
      <c r="J7" s="6"/>
      <c r="K7" s="6"/>
      <c r="L7" s="6"/>
      <c r="M7" s="7"/>
    </row>
    <row r="8" spans="4:19">
      <c r="D8" s="96" t="s">
        <v>0</v>
      </c>
      <c r="E8" s="97"/>
      <c r="F8" s="97"/>
      <c r="G8" s="97"/>
      <c r="H8" s="97"/>
      <c r="I8" s="97"/>
      <c r="J8" s="97"/>
      <c r="K8" s="97"/>
      <c r="L8" s="97"/>
      <c r="M8" s="98"/>
    </row>
    <row r="9" spans="4:19">
      <c r="D9" s="99"/>
      <c r="E9" s="100"/>
      <c r="F9" s="100"/>
      <c r="G9" s="100"/>
      <c r="H9" s="100"/>
      <c r="I9" s="100"/>
      <c r="J9" s="100"/>
      <c r="K9" s="100"/>
      <c r="L9" s="100"/>
      <c r="M9" s="101"/>
    </row>
    <row r="10" spans="4:19" ht="15.75" thickBot="1">
      <c r="D10" s="102"/>
      <c r="E10" s="103"/>
      <c r="F10" s="103"/>
      <c r="G10" s="103"/>
      <c r="H10" s="103"/>
      <c r="I10" s="103"/>
      <c r="J10" s="103"/>
      <c r="K10" s="103"/>
      <c r="L10" s="103"/>
      <c r="M10" s="104"/>
    </row>
    <row r="11" spans="4:19" ht="15.75" thickBot="1">
      <c r="D11" s="8"/>
      <c r="E11" s="9"/>
      <c r="F11" s="9"/>
      <c r="G11" s="9"/>
      <c r="H11" s="9"/>
      <c r="I11" s="9"/>
      <c r="J11" s="9"/>
      <c r="K11" s="9"/>
      <c r="L11" s="9"/>
      <c r="M11" s="10"/>
    </row>
    <row r="12" spans="4:19" s="2" customFormat="1" ht="15.75" thickBot="1">
      <c r="D12" s="11"/>
      <c r="E12" s="12"/>
      <c r="F12" s="88" t="s">
        <v>1</v>
      </c>
      <c r="G12" s="89"/>
      <c r="H12" s="138"/>
      <c r="I12" s="139"/>
      <c r="J12" s="140"/>
      <c r="K12" s="12"/>
      <c r="L12" s="12"/>
      <c r="M12" s="13"/>
    </row>
    <row r="13" spans="4:19" s="2" customFormat="1" ht="15.75" thickBot="1">
      <c r="D13" s="11"/>
      <c r="E13" s="12"/>
      <c r="F13" s="88" t="s">
        <v>2</v>
      </c>
      <c r="G13" s="89"/>
      <c r="H13" s="138"/>
      <c r="I13" s="139"/>
      <c r="J13" s="140"/>
      <c r="K13" s="12"/>
      <c r="L13" s="12"/>
      <c r="M13" s="13"/>
    </row>
    <row r="14" spans="4:19" s="2" customFormat="1" ht="15.75" thickBot="1">
      <c r="D14" s="11"/>
      <c r="E14" s="12"/>
      <c r="F14" s="88" t="s">
        <v>66</v>
      </c>
      <c r="G14" s="89"/>
      <c r="H14" s="82"/>
      <c r="I14" s="139"/>
      <c r="J14" s="140"/>
      <c r="K14" s="12"/>
      <c r="L14" s="12"/>
      <c r="M14" s="13"/>
    </row>
    <row r="15" spans="4:19" s="42" customFormat="1" ht="15.75" thickBot="1">
      <c r="D15" s="11"/>
      <c r="E15" s="12"/>
      <c r="F15" s="88" t="s">
        <v>68</v>
      </c>
      <c r="G15" s="89"/>
      <c r="H15" s="82"/>
      <c r="I15" s="83"/>
      <c r="J15" s="84"/>
      <c r="K15" s="12"/>
      <c r="L15" s="12"/>
      <c r="M15" s="13"/>
    </row>
    <row r="16" spans="4:19" ht="15.75" thickBot="1">
      <c r="D16" s="14"/>
      <c r="E16" s="15"/>
      <c r="F16" s="15"/>
      <c r="G16" s="15"/>
      <c r="H16" s="15"/>
      <c r="I16" s="15"/>
      <c r="J16" s="15"/>
      <c r="K16" s="15"/>
      <c r="L16" s="15"/>
      <c r="M16" s="16"/>
    </row>
    <row r="17" spans="4:13" ht="15.75" thickBot="1">
      <c r="D17" s="17"/>
      <c r="E17" s="18"/>
      <c r="F17" s="18"/>
      <c r="G17" s="18"/>
      <c r="H17" s="18"/>
      <c r="I17" s="18"/>
      <c r="J17" s="18"/>
      <c r="K17" s="18"/>
      <c r="L17" s="18"/>
      <c r="M17" s="19"/>
    </row>
    <row r="18" spans="4:13">
      <c r="D18" s="20"/>
      <c r="E18" s="21"/>
      <c r="F18" s="21"/>
      <c r="G18" s="126" t="s">
        <v>3</v>
      </c>
      <c r="H18" s="127"/>
      <c r="I18" s="128"/>
      <c r="J18" s="126" t="s">
        <v>4</v>
      </c>
      <c r="K18" s="127"/>
      <c r="L18" s="128"/>
      <c r="M18" s="22"/>
    </row>
    <row r="19" spans="4:13">
      <c r="D19" s="20"/>
      <c r="E19" s="21"/>
      <c r="F19" s="21"/>
      <c r="G19" s="129"/>
      <c r="H19" s="130"/>
      <c r="I19" s="131"/>
      <c r="J19" s="129"/>
      <c r="K19" s="130"/>
      <c r="L19" s="131"/>
      <c r="M19" s="22"/>
    </row>
    <row r="20" spans="4:13" ht="15.75" thickBot="1">
      <c r="D20" s="20"/>
      <c r="E20" s="21"/>
      <c r="F20" s="43"/>
      <c r="G20" s="132"/>
      <c r="H20" s="133"/>
      <c r="I20" s="134"/>
      <c r="J20" s="132"/>
      <c r="K20" s="133"/>
      <c r="L20" s="134"/>
      <c r="M20" s="22"/>
    </row>
    <row r="21" spans="4:13">
      <c r="D21" s="20"/>
      <c r="E21" s="111" t="s">
        <v>116</v>
      </c>
      <c r="F21" s="112"/>
      <c r="G21" s="117" t="str">
        <f>IF(ARB0="leabea",J21*QCMF,"-- %")</f>
        <v>-- %</v>
      </c>
      <c r="H21" s="118"/>
      <c r="I21" s="119"/>
      <c r="J21" s="117" t="str">
        <f>IF(ARB0="leabea",NBBR/NBQT,"-- %")</f>
        <v>-- %</v>
      </c>
      <c r="K21" s="118"/>
      <c r="L21" s="119"/>
      <c r="M21" s="22"/>
    </row>
    <row r="22" spans="4:13">
      <c r="D22" s="20"/>
      <c r="E22" s="113"/>
      <c r="F22" s="114"/>
      <c r="G22" s="120"/>
      <c r="H22" s="121"/>
      <c r="I22" s="122"/>
      <c r="J22" s="120"/>
      <c r="K22" s="121"/>
      <c r="L22" s="122"/>
      <c r="M22" s="22"/>
    </row>
    <row r="23" spans="4:13" ht="15.75" thickBot="1">
      <c r="D23" s="20"/>
      <c r="E23" s="115"/>
      <c r="F23" s="116"/>
      <c r="G23" s="123"/>
      <c r="H23" s="124"/>
      <c r="I23" s="125"/>
      <c r="J23" s="123"/>
      <c r="K23" s="124"/>
      <c r="L23" s="125"/>
      <c r="M23" s="81"/>
    </row>
    <row r="24" spans="4:13" ht="15.75" thickBot="1">
      <c r="D24" s="20"/>
      <c r="E24" s="21"/>
      <c r="F24" s="21"/>
      <c r="G24" s="21"/>
      <c r="H24" s="21"/>
      <c r="I24" s="21"/>
      <c r="J24" s="21"/>
      <c r="K24" s="21"/>
      <c r="L24" s="21"/>
      <c r="M24" s="22"/>
    </row>
    <row r="25" spans="4:13" ht="15.75" thickBot="1">
      <c r="D25" s="20"/>
      <c r="E25" s="88" t="s">
        <v>5</v>
      </c>
      <c r="F25" s="89"/>
      <c r="G25" s="32" t="str">
        <f>IF(ARB0="leabea",NBBR,"")</f>
        <v/>
      </c>
      <c r="H25" s="21"/>
      <c r="I25" s="21"/>
      <c r="J25" s="88" t="s">
        <v>6</v>
      </c>
      <c r="K25" s="89"/>
      <c r="L25" s="32" t="str">
        <f>IF(ARB0="leabea",NBQT-NBBR,"")</f>
        <v/>
      </c>
      <c r="M25" s="22"/>
    </row>
    <row r="26" spans="4:13" ht="15.75" thickBot="1">
      <c r="D26" s="23"/>
      <c r="E26" s="24"/>
      <c r="F26" s="24"/>
      <c r="G26" s="24"/>
      <c r="H26" s="24"/>
      <c r="I26" s="24"/>
      <c r="J26" s="24"/>
      <c r="K26" s="24"/>
      <c r="L26" s="24"/>
      <c r="M26" s="25"/>
    </row>
    <row r="27" spans="4:13" ht="15.75" thickBot="1">
      <c r="D27" s="26"/>
      <c r="E27" s="27"/>
      <c r="F27" s="27"/>
      <c r="G27" s="27"/>
      <c r="H27" s="27"/>
      <c r="I27" s="27"/>
      <c r="J27" s="27"/>
      <c r="K27" s="27"/>
      <c r="L27" s="27"/>
      <c r="M27" s="28"/>
    </row>
    <row r="28" spans="4:13">
      <c r="D28" s="26"/>
      <c r="E28" s="135" t="s">
        <v>7</v>
      </c>
      <c r="F28" s="136"/>
      <c r="G28" s="136"/>
      <c r="H28" s="136"/>
      <c r="I28" s="136"/>
      <c r="J28" s="136"/>
      <c r="K28" s="136"/>
      <c r="L28" s="137"/>
      <c r="M28" s="28"/>
    </row>
    <row r="29" spans="4:13">
      <c r="D29" s="26"/>
      <c r="E29" s="90" t="s">
        <v>8</v>
      </c>
      <c r="F29" s="91"/>
      <c r="G29" s="91"/>
      <c r="H29" s="91"/>
      <c r="I29" s="91"/>
      <c r="J29" s="91"/>
      <c r="K29" s="91"/>
      <c r="L29" s="92"/>
      <c r="M29" s="28"/>
    </row>
    <row r="30" spans="4:13" ht="15.75" thickBot="1">
      <c r="D30" s="26"/>
      <c r="E30" s="93" t="s">
        <v>9</v>
      </c>
      <c r="F30" s="94"/>
      <c r="G30" s="94"/>
      <c r="H30" s="94"/>
      <c r="I30" s="94"/>
      <c r="J30" s="94"/>
      <c r="K30" s="94"/>
      <c r="L30" s="95"/>
      <c r="M30" s="28"/>
    </row>
    <row r="31" spans="4:13" ht="15.75" thickBot="1">
      <c r="D31" s="29"/>
      <c r="E31" s="30"/>
      <c r="F31" s="30"/>
      <c r="G31" s="30"/>
      <c r="H31" s="30"/>
      <c r="I31" s="30"/>
      <c r="J31" s="30"/>
      <c r="K31" s="30"/>
      <c r="L31" s="30"/>
      <c r="M31" s="31"/>
    </row>
  </sheetData>
  <sheetProtection password="C017" sheet="1" objects="1" scenarios="1"/>
  <mergeCells count="22">
    <mergeCell ref="E29:L29"/>
    <mergeCell ref="E30:L30"/>
    <mergeCell ref="D8:M10"/>
    <mergeCell ref="D3:F7"/>
    <mergeCell ref="E21:F23"/>
    <mergeCell ref="G21:I23"/>
    <mergeCell ref="J21:L23"/>
    <mergeCell ref="J18:L20"/>
    <mergeCell ref="G18:I20"/>
    <mergeCell ref="E28:L28"/>
    <mergeCell ref="E25:F25"/>
    <mergeCell ref="H12:J12"/>
    <mergeCell ref="H13:J13"/>
    <mergeCell ref="H14:J14"/>
    <mergeCell ref="J25:K25"/>
    <mergeCell ref="F15:G15"/>
    <mergeCell ref="H15:J15"/>
    <mergeCell ref="O3:S5"/>
    <mergeCell ref="G4:K6"/>
    <mergeCell ref="F12:G12"/>
    <mergeCell ref="F13:G13"/>
    <mergeCell ref="F14:G14"/>
  </mergeCells>
  <pageMargins left="1.299212598425197" right="1.299212598425197" top="1.1811023622047245" bottom="1.1811023622047245" header="0.31496062992125984" footer="0.31496062992125984"/>
  <pageSetup paperSize="9" orientation="landscape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B1:BE197"/>
  <sheetViews>
    <sheetView showGridLines="0" showRowColHeaders="0" workbookViewId="0">
      <selection activeCell="C11" sqref="C11"/>
    </sheetView>
  </sheetViews>
  <sheetFormatPr baseColWidth="10" defaultRowHeight="15"/>
  <cols>
    <col min="1" max="2" width="11.42578125" style="2"/>
    <col min="3" max="3" width="5.5703125" style="2" customWidth="1"/>
    <col min="4" max="15" width="11.42578125" style="2"/>
    <col min="16" max="16" width="11.42578125" style="2" hidden="1" customWidth="1"/>
    <col min="17" max="17" width="24.140625" style="45" hidden="1" customWidth="1"/>
    <col min="18" max="18" width="23.5703125" style="47" hidden="1" customWidth="1"/>
    <col min="19" max="19" width="21.42578125" style="2" hidden="1" customWidth="1"/>
    <col min="20" max="20" width="24.42578125" style="2" hidden="1" customWidth="1"/>
    <col min="21" max="21" width="20.7109375" style="2" hidden="1" customWidth="1"/>
    <col min="22" max="22" width="25.140625" style="2" hidden="1" customWidth="1"/>
    <col min="23" max="23" width="11.42578125" style="2" hidden="1" customWidth="1"/>
    <col min="24" max="24" width="11.42578125" style="42" hidden="1" customWidth="1"/>
    <col min="25" max="25" width="30.28515625" style="2" hidden="1" customWidth="1"/>
    <col min="26" max="26" width="27.140625" style="2" hidden="1" customWidth="1"/>
    <col min="27" max="27" width="32.28515625" style="2" hidden="1" customWidth="1"/>
    <col min="28" max="28" width="91" style="2" hidden="1" customWidth="1"/>
    <col min="29" max="29" width="11.42578125" style="2" hidden="1" customWidth="1"/>
    <col min="30" max="53" width="11.42578125" style="2"/>
    <col min="54" max="54" width="48.5703125" style="2" customWidth="1"/>
    <col min="55" max="16384" width="11.42578125" style="2"/>
  </cols>
  <sheetData>
    <row r="1" spans="2:57" ht="30.75" customHeight="1" thickBot="1">
      <c r="Q1" s="159" t="s">
        <v>26</v>
      </c>
      <c r="R1" s="160" t="s">
        <v>27</v>
      </c>
      <c r="S1" s="161" t="s">
        <v>28</v>
      </c>
      <c r="T1" s="162" t="s">
        <v>30</v>
      </c>
      <c r="U1" s="163" t="s">
        <v>29</v>
      </c>
      <c r="V1" s="158" t="s">
        <v>31</v>
      </c>
    </row>
    <row r="2" spans="2:57">
      <c r="B2" s="168" t="s">
        <v>117</v>
      </c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70"/>
      <c r="Q2" s="159"/>
      <c r="R2" s="160"/>
      <c r="S2" s="161"/>
      <c r="T2" s="162"/>
      <c r="U2" s="163"/>
      <c r="V2" s="158"/>
    </row>
    <row r="3" spans="2:57">
      <c r="B3" s="171"/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3"/>
      <c r="Q3" s="159"/>
      <c r="R3" s="160"/>
      <c r="S3" s="161"/>
      <c r="T3" s="162"/>
      <c r="U3" s="163"/>
      <c r="V3" s="55"/>
    </row>
    <row r="4" spans="2:57" ht="15.75" customHeight="1" thickBot="1">
      <c r="B4" s="174"/>
      <c r="C4" s="175"/>
      <c r="D4" s="175"/>
      <c r="E4" s="175"/>
      <c r="F4" s="175"/>
      <c r="G4" s="175"/>
      <c r="H4" s="175"/>
      <c r="I4" s="175"/>
      <c r="J4" s="175"/>
      <c r="K4" s="175"/>
      <c r="L4" s="175"/>
      <c r="M4" s="175"/>
      <c r="N4" s="176"/>
      <c r="Q4" s="159"/>
      <c r="R4" s="160"/>
      <c r="S4" s="161"/>
      <c r="T4" s="162"/>
      <c r="U4" s="163"/>
      <c r="V4" s="55"/>
      <c r="BA4" s="56"/>
      <c r="BB4" s="56"/>
      <c r="BC4" s="56"/>
      <c r="BD4" s="56"/>
      <c r="BE4" s="56"/>
    </row>
    <row r="5" spans="2:57" ht="15.75" thickBot="1">
      <c r="B5" s="52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4"/>
      <c r="Q5" s="46"/>
      <c r="R5" s="48"/>
      <c r="S5" s="49"/>
      <c r="T5" s="50"/>
      <c r="U5" s="51"/>
      <c r="V5" s="55"/>
      <c r="BA5" s="56"/>
      <c r="BB5" s="56"/>
      <c r="BC5" s="56"/>
      <c r="BD5" s="56"/>
      <c r="BE5" s="56"/>
    </row>
    <row r="6" spans="2:57">
      <c r="B6" s="152" t="s">
        <v>10</v>
      </c>
      <c r="C6" s="153"/>
      <c r="D6" s="153"/>
      <c r="E6" s="153"/>
      <c r="F6" s="153"/>
      <c r="G6" s="153"/>
      <c r="H6" s="153"/>
      <c r="I6" s="153"/>
      <c r="J6" s="153"/>
      <c r="K6" s="153"/>
      <c r="L6" s="153"/>
      <c r="M6" s="153"/>
      <c r="N6" s="154"/>
      <c r="Q6" s="46"/>
      <c r="R6" s="48"/>
      <c r="S6" s="49"/>
      <c r="T6" s="50"/>
      <c r="U6" s="51"/>
      <c r="V6" s="55"/>
      <c r="BA6" s="56"/>
      <c r="BB6" s="56"/>
      <c r="BC6" s="56"/>
      <c r="BD6" s="56"/>
      <c r="BE6" s="56"/>
    </row>
    <row r="7" spans="2:57" ht="15.75" thickBot="1">
      <c r="B7" s="155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7"/>
      <c r="Q7" s="46"/>
      <c r="R7" s="48"/>
      <c r="S7" s="49"/>
      <c r="T7" s="50"/>
      <c r="U7" s="51"/>
      <c r="V7" s="55"/>
      <c r="BA7" s="56"/>
      <c r="BB7" s="56"/>
      <c r="BC7" s="56"/>
      <c r="BD7" s="56"/>
      <c r="BE7" s="56"/>
    </row>
    <row r="8" spans="2:57" ht="15.75" thickBot="1">
      <c r="B8" s="39" t="s">
        <v>11</v>
      </c>
      <c r="C8" s="33"/>
      <c r="D8" s="164" t="s">
        <v>118</v>
      </c>
      <c r="E8" s="164"/>
      <c r="F8" s="164"/>
      <c r="G8" s="164"/>
      <c r="H8" s="164"/>
      <c r="I8" s="164"/>
      <c r="J8" s="164"/>
      <c r="K8" s="164"/>
      <c r="L8" s="164"/>
      <c r="M8" s="164"/>
      <c r="N8" s="165"/>
      <c r="Q8" s="46"/>
      <c r="R8" s="48"/>
      <c r="S8" s="49"/>
      <c r="T8" s="50"/>
      <c r="U8" s="51"/>
      <c r="V8" s="55"/>
      <c r="BA8" s="56"/>
      <c r="BB8" s="56"/>
      <c r="BC8" s="56"/>
      <c r="BD8" s="56"/>
      <c r="BE8" s="56"/>
    </row>
    <row r="9" spans="2:57">
      <c r="B9" s="34"/>
      <c r="C9" s="35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7"/>
      <c r="Q9" s="46"/>
      <c r="R9" s="48"/>
      <c r="S9" s="49"/>
      <c r="T9" s="50"/>
      <c r="U9" s="51"/>
      <c r="V9" s="55"/>
      <c r="BA9" s="56"/>
      <c r="BB9" s="56"/>
      <c r="BC9" s="56"/>
      <c r="BD9" s="56"/>
      <c r="BE9" s="56"/>
    </row>
    <row r="10" spans="2:57">
      <c r="B10" s="34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6"/>
      <c r="Q10" s="46"/>
      <c r="R10" s="48"/>
      <c r="S10" s="49"/>
      <c r="T10" s="50"/>
      <c r="U10" s="51"/>
      <c r="V10" s="55"/>
    </row>
    <row r="11" spans="2:57">
      <c r="B11" s="34"/>
      <c r="C11" s="44"/>
      <c r="D11" s="143" t="s">
        <v>119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Q11" s="46" t="s">
        <v>12</v>
      </c>
      <c r="R11" s="48"/>
      <c r="S11" s="49"/>
      <c r="T11" s="50"/>
      <c r="U11" s="51"/>
      <c r="V11" s="55"/>
    </row>
    <row r="12" spans="2:57" s="42" customFormat="1">
      <c r="B12" s="34"/>
      <c r="C12" s="44"/>
      <c r="D12" s="76" t="s">
        <v>120</v>
      </c>
      <c r="E12" s="77"/>
      <c r="F12" s="77"/>
      <c r="G12" s="77"/>
      <c r="H12" s="77"/>
      <c r="I12" s="77"/>
      <c r="J12" s="77"/>
      <c r="K12" s="77"/>
      <c r="L12" s="77"/>
      <c r="M12" s="77"/>
      <c r="N12" s="78"/>
      <c r="Q12" s="46"/>
      <c r="R12" s="48"/>
      <c r="S12" s="49"/>
      <c r="T12" s="50"/>
      <c r="U12" s="51"/>
      <c r="V12" s="55"/>
    </row>
    <row r="13" spans="2:57" s="42" customFormat="1">
      <c r="B13" s="34"/>
      <c r="C13" s="44"/>
      <c r="D13" s="76" t="s">
        <v>121</v>
      </c>
      <c r="E13" s="77"/>
      <c r="F13" s="77"/>
      <c r="G13" s="77"/>
      <c r="H13" s="77"/>
      <c r="I13" s="77"/>
      <c r="J13" s="77"/>
      <c r="K13" s="77"/>
      <c r="L13" s="77"/>
      <c r="M13" s="77"/>
      <c r="N13" s="78"/>
      <c r="Q13" s="46"/>
      <c r="R13" s="48"/>
      <c r="S13" s="49"/>
      <c r="T13" s="50"/>
      <c r="U13" s="51"/>
      <c r="V13" s="55"/>
    </row>
    <row r="14" spans="2:57">
      <c r="B14" s="34"/>
      <c r="C14" s="44"/>
      <c r="D14" s="143" t="s">
        <v>122</v>
      </c>
      <c r="E14" s="150"/>
      <c r="F14" s="150"/>
      <c r="G14" s="150"/>
      <c r="H14" s="150"/>
      <c r="I14" s="150"/>
      <c r="J14" s="150"/>
      <c r="K14" s="150"/>
      <c r="L14" s="150"/>
      <c r="M14" s="150"/>
      <c r="N14" s="151"/>
      <c r="Q14" s="46"/>
      <c r="R14" s="48"/>
      <c r="S14" s="49"/>
      <c r="T14" s="50"/>
      <c r="U14" s="51"/>
      <c r="V14" s="55"/>
    </row>
    <row r="15" spans="2:57" ht="15.75" thickBot="1">
      <c r="B15" s="37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141" t="str">
        <f>IF(ABR="risque",S15,"")</f>
        <v/>
      </c>
      <c r="N15" s="142"/>
      <c r="O15" s="42"/>
      <c r="Q15" s="46"/>
      <c r="R15" s="48">
        <f>IF(AND(C11=Q11,C12=Q12,C13=Q13,C14=Q14),1,0)</f>
        <v>0</v>
      </c>
      <c r="S15" s="49" t="str">
        <f>IF(R15=1,"Bonne réponse","Mauvaise réponse")</f>
        <v>Mauvaise réponse</v>
      </c>
      <c r="T15" s="50"/>
      <c r="U15" s="51"/>
      <c r="V15" s="55"/>
    </row>
    <row r="16" spans="2:57" ht="15.75" thickBot="1">
      <c r="B16" s="39" t="s">
        <v>13</v>
      </c>
      <c r="C16" s="33"/>
      <c r="D16" s="164" t="s">
        <v>123</v>
      </c>
      <c r="E16" s="164"/>
      <c r="F16" s="164"/>
      <c r="G16" s="164"/>
      <c r="H16" s="164"/>
      <c r="I16" s="164"/>
      <c r="J16" s="164"/>
      <c r="K16" s="164"/>
      <c r="L16" s="164"/>
      <c r="M16" s="164"/>
      <c r="N16" s="165"/>
      <c r="Q16" s="46"/>
      <c r="R16" s="48"/>
      <c r="S16" s="49"/>
      <c r="T16" s="50"/>
      <c r="U16" s="51"/>
      <c r="V16" s="55"/>
    </row>
    <row r="17" spans="2:22">
      <c r="B17" s="34"/>
      <c r="C17" s="35"/>
      <c r="D17" s="166"/>
      <c r="E17" s="166"/>
      <c r="F17" s="166"/>
      <c r="G17" s="166"/>
      <c r="H17" s="166"/>
      <c r="I17" s="166"/>
      <c r="J17" s="166"/>
      <c r="K17" s="166"/>
      <c r="L17" s="166"/>
      <c r="M17" s="166"/>
      <c r="N17" s="167"/>
      <c r="Q17" s="46"/>
      <c r="R17" s="48"/>
      <c r="S17" s="49"/>
      <c r="T17" s="50"/>
      <c r="U17" s="51"/>
      <c r="V17" s="55"/>
    </row>
    <row r="18" spans="2:22">
      <c r="B18" s="34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6"/>
      <c r="Q18" s="46"/>
      <c r="R18" s="48"/>
      <c r="S18" s="49"/>
      <c r="T18" s="50"/>
      <c r="U18" s="51"/>
      <c r="V18" s="55"/>
    </row>
    <row r="19" spans="2:22">
      <c r="B19" s="34"/>
      <c r="C19" s="44"/>
      <c r="D19" s="143" t="s">
        <v>119</v>
      </c>
      <c r="E19" s="150"/>
      <c r="F19" s="150"/>
      <c r="G19" s="150"/>
      <c r="H19" s="150"/>
      <c r="I19" s="150"/>
      <c r="J19" s="150"/>
      <c r="K19" s="150"/>
      <c r="L19" s="150"/>
      <c r="M19" s="150"/>
      <c r="N19" s="151"/>
      <c r="Q19" s="46"/>
      <c r="R19" s="48"/>
      <c r="S19" s="49"/>
      <c r="T19" s="50"/>
      <c r="U19" s="51"/>
      <c r="V19" s="55"/>
    </row>
    <row r="20" spans="2:22" s="42" customFormat="1">
      <c r="B20" s="34"/>
      <c r="C20" s="44"/>
      <c r="D20" s="76" t="s">
        <v>120</v>
      </c>
      <c r="E20" s="77"/>
      <c r="F20" s="77"/>
      <c r="G20" s="77"/>
      <c r="H20" s="77"/>
      <c r="I20" s="77"/>
      <c r="J20" s="77"/>
      <c r="K20" s="77"/>
      <c r="L20" s="77"/>
      <c r="M20" s="77"/>
      <c r="N20" s="78"/>
      <c r="Q20" s="46" t="s">
        <v>12</v>
      </c>
      <c r="R20" s="48"/>
      <c r="S20" s="49"/>
      <c r="T20" s="50"/>
      <c r="U20" s="51"/>
      <c r="V20" s="55"/>
    </row>
    <row r="21" spans="2:22" s="42" customFormat="1">
      <c r="B21" s="34"/>
      <c r="C21" s="44"/>
      <c r="D21" s="76" t="s">
        <v>121</v>
      </c>
      <c r="E21" s="77"/>
      <c r="F21" s="77"/>
      <c r="G21" s="77"/>
      <c r="H21" s="77"/>
      <c r="I21" s="77"/>
      <c r="J21" s="77"/>
      <c r="K21" s="77"/>
      <c r="L21" s="77"/>
      <c r="M21" s="77"/>
      <c r="N21" s="78"/>
      <c r="Q21" s="46"/>
      <c r="R21" s="48"/>
      <c r="S21" s="49"/>
      <c r="T21" s="50"/>
      <c r="U21" s="51"/>
      <c r="V21" s="55"/>
    </row>
    <row r="22" spans="2:22">
      <c r="B22" s="34"/>
      <c r="C22" s="40"/>
      <c r="D22" s="143" t="s">
        <v>122</v>
      </c>
      <c r="E22" s="150"/>
      <c r="F22" s="150"/>
      <c r="G22" s="150"/>
      <c r="H22" s="150"/>
      <c r="I22" s="150"/>
      <c r="J22" s="150"/>
      <c r="K22" s="150"/>
      <c r="L22" s="150"/>
      <c r="M22" s="150"/>
      <c r="N22" s="151"/>
      <c r="Q22" s="46"/>
      <c r="R22" s="48"/>
      <c r="S22" s="49"/>
      <c r="T22" s="50"/>
      <c r="U22" s="51"/>
      <c r="V22" s="55"/>
    </row>
    <row r="23" spans="2:22" ht="15.75" thickBot="1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141" t="str">
        <f>IF(ABR="risque",S23,"")</f>
        <v/>
      </c>
      <c r="N23" s="142"/>
      <c r="Q23" s="46"/>
      <c r="R23" s="48">
        <f>IF(AND(C19=Q19,C20=Q20,C21=Q21,C22=Q22),1,0)</f>
        <v>0</v>
      </c>
      <c r="S23" s="49" t="str">
        <f>IF(R23=1,"Bonne réponse","Mauvaise réponse")</f>
        <v>Mauvaise réponse</v>
      </c>
      <c r="T23" s="50"/>
      <c r="U23" s="51"/>
      <c r="V23" s="55"/>
    </row>
    <row r="24" spans="2:22" ht="15.75" thickBot="1">
      <c r="B24" s="39" t="s">
        <v>16</v>
      </c>
      <c r="C24" s="33"/>
      <c r="D24" s="164" t="s">
        <v>124</v>
      </c>
      <c r="E24" s="164"/>
      <c r="F24" s="164"/>
      <c r="G24" s="164"/>
      <c r="H24" s="164"/>
      <c r="I24" s="164"/>
      <c r="J24" s="164"/>
      <c r="K24" s="164"/>
      <c r="L24" s="164"/>
      <c r="M24" s="164"/>
      <c r="N24" s="165"/>
      <c r="Q24" s="46"/>
      <c r="R24" s="48"/>
      <c r="S24" s="49"/>
      <c r="T24" s="50"/>
      <c r="U24" s="51"/>
      <c r="V24" s="55"/>
    </row>
    <row r="25" spans="2:22">
      <c r="B25" s="34"/>
      <c r="C25" s="35"/>
      <c r="D25" s="166"/>
      <c r="E25" s="166"/>
      <c r="F25" s="166"/>
      <c r="G25" s="166"/>
      <c r="H25" s="166"/>
      <c r="I25" s="166"/>
      <c r="J25" s="166"/>
      <c r="K25" s="166"/>
      <c r="L25" s="166"/>
      <c r="M25" s="166"/>
      <c r="N25" s="167"/>
      <c r="Q25" s="46"/>
      <c r="R25" s="48"/>
      <c r="S25" s="49"/>
      <c r="T25" s="50"/>
      <c r="U25" s="51"/>
      <c r="V25" s="55"/>
    </row>
    <row r="26" spans="2:22">
      <c r="B26" s="34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6"/>
      <c r="Q26" s="46"/>
      <c r="R26" s="48"/>
      <c r="S26" s="49"/>
      <c r="T26" s="50"/>
      <c r="U26" s="51"/>
      <c r="V26" s="55"/>
    </row>
    <row r="27" spans="2:22">
      <c r="B27" s="34"/>
      <c r="C27" s="44"/>
      <c r="D27" s="143" t="s">
        <v>14</v>
      </c>
      <c r="E27" s="150"/>
      <c r="F27" s="150"/>
      <c r="G27" s="150"/>
      <c r="H27" s="150"/>
      <c r="I27" s="150"/>
      <c r="J27" s="150"/>
      <c r="K27" s="150"/>
      <c r="L27" s="150"/>
      <c r="M27" s="150"/>
      <c r="N27" s="151"/>
      <c r="Q27" s="46" t="s">
        <v>12</v>
      </c>
      <c r="R27" s="48"/>
      <c r="S27" s="49"/>
      <c r="T27" s="50"/>
      <c r="U27" s="51"/>
      <c r="V27" s="55"/>
    </row>
    <row r="28" spans="2:22" s="42" customFormat="1">
      <c r="B28" s="34"/>
      <c r="C28" s="44"/>
      <c r="D28" s="143" t="s">
        <v>15</v>
      </c>
      <c r="E28" s="144"/>
      <c r="F28" s="144"/>
      <c r="G28" s="144"/>
      <c r="H28" s="144"/>
      <c r="I28" s="144"/>
      <c r="J28" s="144"/>
      <c r="K28" s="144"/>
      <c r="L28" s="144"/>
      <c r="M28" s="144"/>
      <c r="N28" s="145"/>
      <c r="Q28" s="46"/>
      <c r="R28" s="48"/>
      <c r="S28" s="49"/>
      <c r="T28" s="50"/>
      <c r="U28" s="51"/>
      <c r="V28" s="55"/>
    </row>
    <row r="29" spans="2:22" ht="15.75" thickBot="1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141" t="str">
        <f>IF(ABR="risque",S29,"")</f>
        <v/>
      </c>
      <c r="N29" s="142"/>
      <c r="Q29" s="46"/>
      <c r="R29" s="48">
        <f>IF(AND(C27=Q27,C28=Q28),1,0)</f>
        <v>0</v>
      </c>
      <c r="S29" s="49" t="str">
        <f>IF(R29=1,"Bonne réponse","Mauvaise réponse")</f>
        <v>Mauvaise réponse</v>
      </c>
      <c r="T29" s="50"/>
      <c r="U29" s="51"/>
      <c r="V29" s="55"/>
    </row>
    <row r="30" spans="2:22" ht="15.75" thickBot="1">
      <c r="B30" s="39" t="s">
        <v>17</v>
      </c>
      <c r="C30" s="33"/>
      <c r="D30" s="177" t="s">
        <v>125</v>
      </c>
      <c r="E30" s="177"/>
      <c r="F30" s="177"/>
      <c r="G30" s="177"/>
      <c r="H30" s="177"/>
      <c r="I30" s="177"/>
      <c r="J30" s="177"/>
      <c r="K30" s="177"/>
      <c r="L30" s="177"/>
      <c r="M30" s="177"/>
      <c r="N30" s="178"/>
      <c r="Q30" s="46"/>
      <c r="R30" s="48"/>
      <c r="S30" s="49"/>
      <c r="T30" s="50"/>
      <c r="U30" s="51"/>
      <c r="V30" s="55"/>
    </row>
    <row r="31" spans="2:22">
      <c r="B31" s="34"/>
      <c r="C31" s="35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Q31" s="46"/>
      <c r="R31" s="48"/>
      <c r="S31" s="49"/>
      <c r="T31" s="50"/>
      <c r="U31" s="51"/>
      <c r="V31" s="55"/>
    </row>
    <row r="32" spans="2:22">
      <c r="B32" s="34"/>
      <c r="C32" s="35"/>
      <c r="D32" s="179"/>
      <c r="E32" s="179"/>
      <c r="F32" s="179"/>
      <c r="G32" s="179"/>
      <c r="H32" s="179"/>
      <c r="I32" s="179"/>
      <c r="J32" s="179"/>
      <c r="K32" s="179"/>
      <c r="L32" s="179"/>
      <c r="M32" s="179"/>
      <c r="N32" s="180"/>
      <c r="Q32" s="46"/>
      <c r="R32" s="48"/>
      <c r="S32" s="49"/>
      <c r="T32" s="50"/>
      <c r="U32" s="51"/>
      <c r="V32" s="55"/>
    </row>
    <row r="33" spans="2:22">
      <c r="B33" s="34"/>
      <c r="C33" s="44"/>
      <c r="D33" s="143" t="s">
        <v>126</v>
      </c>
      <c r="E33" s="150"/>
      <c r="F33" s="150"/>
      <c r="G33" s="150"/>
      <c r="H33" s="150"/>
      <c r="I33" s="150"/>
      <c r="J33" s="150"/>
      <c r="K33" s="150"/>
      <c r="L33" s="150"/>
      <c r="M33" s="150"/>
      <c r="N33" s="151"/>
      <c r="Q33" s="46"/>
      <c r="R33" s="48"/>
      <c r="S33" s="49"/>
      <c r="T33" s="50"/>
      <c r="U33" s="51"/>
      <c r="V33" s="55"/>
    </row>
    <row r="34" spans="2:22">
      <c r="B34" s="34"/>
      <c r="C34" s="44"/>
      <c r="D34" s="143" t="s">
        <v>82</v>
      </c>
      <c r="E34" s="150"/>
      <c r="F34" s="150"/>
      <c r="G34" s="150"/>
      <c r="H34" s="150"/>
      <c r="I34" s="150"/>
      <c r="J34" s="150"/>
      <c r="K34" s="150"/>
      <c r="L34" s="150"/>
      <c r="M34" s="150"/>
      <c r="N34" s="151"/>
      <c r="Q34" s="46"/>
      <c r="R34" s="48"/>
      <c r="S34" s="49"/>
      <c r="T34" s="50"/>
      <c r="U34" s="51"/>
      <c r="V34" s="55"/>
    </row>
    <row r="35" spans="2:22" s="42" customFormat="1">
      <c r="B35" s="34"/>
      <c r="C35" s="44"/>
      <c r="D35" s="76" t="s">
        <v>83</v>
      </c>
      <c r="E35" s="77"/>
      <c r="F35" s="77"/>
      <c r="G35" s="77"/>
      <c r="H35" s="77"/>
      <c r="I35" s="77"/>
      <c r="J35" s="77"/>
      <c r="K35" s="77"/>
      <c r="L35" s="77"/>
      <c r="M35" s="77"/>
      <c r="N35" s="78"/>
      <c r="Q35" s="46" t="s">
        <v>12</v>
      </c>
      <c r="R35" s="48"/>
      <c r="S35" s="49"/>
      <c r="T35" s="50"/>
      <c r="U35" s="51"/>
      <c r="V35" s="55"/>
    </row>
    <row r="36" spans="2:22">
      <c r="B36" s="34"/>
      <c r="C36" s="44"/>
      <c r="D36" s="143" t="s">
        <v>84</v>
      </c>
      <c r="E36" s="150"/>
      <c r="F36" s="150"/>
      <c r="G36" s="150"/>
      <c r="H36" s="150"/>
      <c r="I36" s="150"/>
      <c r="J36" s="150"/>
      <c r="K36" s="150"/>
      <c r="L36" s="150"/>
      <c r="M36" s="150"/>
      <c r="N36" s="151"/>
      <c r="Q36" s="46"/>
      <c r="R36" s="48"/>
      <c r="S36" s="49"/>
      <c r="T36" s="50"/>
      <c r="U36" s="51"/>
      <c r="V36" s="55"/>
    </row>
    <row r="37" spans="2:22" ht="15.75" thickBot="1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141" t="str">
        <f>IF(ABR="risque",S37,"")</f>
        <v/>
      </c>
      <c r="N37" s="142"/>
      <c r="Q37" s="46"/>
      <c r="R37" s="48">
        <f>IF(AND(C33=Q33,C34=Q34,C35=Q35,C36=Q36),1,0)</f>
        <v>0</v>
      </c>
      <c r="S37" s="49" t="str">
        <f>IF(R37=1,"Bonne réponse","Mauvaise réponse")</f>
        <v>Mauvaise réponse</v>
      </c>
      <c r="T37" s="50">
        <f>COUNTA(M7:M38)</f>
        <v>4</v>
      </c>
      <c r="U37" s="51">
        <f>SUM(R7:R38)/NBQ_1</f>
        <v>0</v>
      </c>
      <c r="V37" s="55">
        <v>1</v>
      </c>
    </row>
    <row r="38" spans="2:22">
      <c r="B38" s="152" t="s">
        <v>18</v>
      </c>
      <c r="C38" s="153"/>
      <c r="D38" s="153"/>
      <c r="E38" s="153"/>
      <c r="F38" s="153"/>
      <c r="G38" s="153"/>
      <c r="H38" s="153"/>
      <c r="I38" s="153"/>
      <c r="J38" s="153"/>
      <c r="K38" s="153"/>
      <c r="L38" s="153"/>
      <c r="M38" s="153"/>
      <c r="N38" s="154"/>
      <c r="Q38" s="46"/>
      <c r="R38" s="48"/>
      <c r="S38" s="49"/>
      <c r="T38" s="50"/>
      <c r="U38" s="51"/>
      <c r="V38" s="55"/>
    </row>
    <row r="39" spans="2:22" ht="15.75" thickBot="1">
      <c r="B39" s="155"/>
      <c r="C39" s="156"/>
      <c r="D39" s="156"/>
      <c r="E39" s="156"/>
      <c r="F39" s="156"/>
      <c r="G39" s="156"/>
      <c r="H39" s="156"/>
      <c r="I39" s="156"/>
      <c r="J39" s="156"/>
      <c r="K39" s="156"/>
      <c r="L39" s="156"/>
      <c r="M39" s="156"/>
      <c r="N39" s="157"/>
      <c r="Q39" s="46"/>
      <c r="R39" s="48"/>
      <c r="S39" s="49"/>
      <c r="T39" s="50"/>
      <c r="U39" s="51"/>
      <c r="V39" s="55"/>
    </row>
    <row r="40" spans="2:22" ht="15.75" thickBot="1">
      <c r="B40" s="79" t="s">
        <v>89</v>
      </c>
      <c r="C40" s="33"/>
      <c r="D40" s="146" t="s">
        <v>127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7"/>
      <c r="Q40" s="46"/>
      <c r="R40" s="48"/>
      <c r="S40" s="49"/>
      <c r="T40" s="50"/>
      <c r="U40" s="51"/>
      <c r="V40" s="55"/>
    </row>
    <row r="41" spans="2:22">
      <c r="B41" s="34"/>
      <c r="C41" s="35"/>
      <c r="D41" s="148"/>
      <c r="E41" s="148"/>
      <c r="F41" s="148"/>
      <c r="G41" s="148"/>
      <c r="H41" s="148"/>
      <c r="I41" s="148"/>
      <c r="J41" s="148"/>
      <c r="K41" s="148"/>
      <c r="L41" s="148"/>
      <c r="M41" s="148"/>
      <c r="N41" s="149"/>
      <c r="Q41" s="46"/>
      <c r="R41" s="48"/>
      <c r="S41" s="49"/>
      <c r="T41" s="50"/>
      <c r="U41" s="51"/>
      <c r="V41" s="55"/>
    </row>
    <row r="42" spans="2:22">
      <c r="B42" s="34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6"/>
      <c r="Q42" s="46"/>
      <c r="R42" s="48"/>
      <c r="S42" s="49"/>
      <c r="T42" s="50"/>
      <c r="U42" s="51"/>
      <c r="V42" s="55"/>
    </row>
    <row r="43" spans="2:22">
      <c r="B43" s="34"/>
      <c r="C43" s="44"/>
      <c r="D43" s="143" t="s">
        <v>85</v>
      </c>
      <c r="E43" s="150"/>
      <c r="F43" s="150"/>
      <c r="G43" s="150"/>
      <c r="H43" s="150"/>
      <c r="I43" s="150"/>
      <c r="J43" s="150"/>
      <c r="K43" s="150"/>
      <c r="L43" s="150"/>
      <c r="M43" s="150"/>
      <c r="N43" s="151"/>
      <c r="Q43" s="46" t="s">
        <v>12</v>
      </c>
      <c r="R43" s="48"/>
      <c r="S43" s="49"/>
      <c r="T43" s="50"/>
      <c r="U43" s="51"/>
      <c r="V43" s="55"/>
    </row>
    <row r="44" spans="2:22">
      <c r="B44" s="34"/>
      <c r="C44" s="40"/>
      <c r="D44" s="143" t="s">
        <v>86</v>
      </c>
      <c r="E44" s="150"/>
      <c r="F44" s="150"/>
      <c r="G44" s="150"/>
      <c r="H44" s="150"/>
      <c r="I44" s="150"/>
      <c r="J44" s="150"/>
      <c r="K44" s="150"/>
      <c r="L44" s="150"/>
      <c r="M44" s="150"/>
      <c r="N44" s="151"/>
      <c r="Q44" s="46"/>
      <c r="R44" s="48"/>
      <c r="S44" s="49"/>
      <c r="T44" s="50"/>
      <c r="U44" s="51"/>
      <c r="V44" s="55"/>
    </row>
    <row r="45" spans="2:22" s="42" customFormat="1">
      <c r="B45" s="34"/>
      <c r="C45" s="44"/>
      <c r="D45" s="76" t="s">
        <v>87</v>
      </c>
      <c r="E45" s="77"/>
      <c r="F45" s="77"/>
      <c r="G45" s="77"/>
      <c r="H45" s="77"/>
      <c r="I45" s="77"/>
      <c r="J45" s="77"/>
      <c r="K45" s="77"/>
      <c r="L45" s="77"/>
      <c r="M45" s="77"/>
      <c r="N45" s="78"/>
      <c r="Q45" s="46"/>
      <c r="R45" s="48"/>
      <c r="S45" s="49"/>
      <c r="T45" s="50"/>
      <c r="U45" s="51"/>
      <c r="V45" s="55"/>
    </row>
    <row r="46" spans="2:22">
      <c r="B46" s="34"/>
      <c r="C46" s="44"/>
      <c r="D46" s="143" t="s">
        <v>128</v>
      </c>
      <c r="E46" s="150"/>
      <c r="F46" s="150"/>
      <c r="G46" s="150"/>
      <c r="H46" s="150"/>
      <c r="I46" s="150"/>
      <c r="J46" s="150"/>
      <c r="K46" s="150"/>
      <c r="L46" s="150"/>
      <c r="M46" s="150"/>
      <c r="N46" s="151"/>
      <c r="Q46" s="46"/>
      <c r="R46" s="48"/>
      <c r="S46" s="49"/>
      <c r="T46" s="50"/>
      <c r="U46" s="51"/>
      <c r="V46" s="55"/>
    </row>
    <row r="47" spans="2:22" ht="15.75" thickBot="1">
      <c r="B47" s="37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141" t="str">
        <f>IF(ABR="risque",S47,"")</f>
        <v/>
      </c>
      <c r="N47" s="142"/>
      <c r="Q47" s="46"/>
      <c r="R47" s="48">
        <f>IF(AND(C43=Q43,C44=Q44,C45=Q45,C46=Q46),1,0)</f>
        <v>0</v>
      </c>
      <c r="S47" s="49" t="str">
        <f>IF(R47=1,"Bonne réponse","Mauvaise réponse")</f>
        <v>Mauvaise réponse</v>
      </c>
      <c r="T47" s="50"/>
      <c r="U47" s="51"/>
      <c r="V47" s="55"/>
    </row>
    <row r="48" spans="2:22" ht="15.75" thickBot="1">
      <c r="B48" s="39" t="s">
        <v>88</v>
      </c>
      <c r="C48" s="33"/>
      <c r="D48" s="146" t="s">
        <v>129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7"/>
      <c r="Q48" s="46"/>
      <c r="R48" s="48"/>
      <c r="S48" s="49"/>
      <c r="T48" s="50"/>
      <c r="U48" s="51"/>
      <c r="V48" s="55"/>
    </row>
    <row r="49" spans="2:22">
      <c r="B49" s="34"/>
      <c r="C49" s="35"/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9"/>
      <c r="Q49" s="46"/>
      <c r="R49" s="48"/>
      <c r="S49" s="49"/>
      <c r="T49" s="50"/>
      <c r="U49" s="51"/>
      <c r="V49" s="55"/>
    </row>
    <row r="50" spans="2:22">
      <c r="B50" s="34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6"/>
      <c r="Q50" s="46"/>
      <c r="R50" s="48"/>
      <c r="S50" s="49"/>
      <c r="T50" s="50"/>
      <c r="U50" s="51"/>
      <c r="V50" s="55"/>
    </row>
    <row r="51" spans="2:22">
      <c r="B51" s="34"/>
      <c r="C51" s="44"/>
      <c r="D51" s="143" t="s">
        <v>14</v>
      </c>
      <c r="E51" s="150"/>
      <c r="F51" s="150"/>
      <c r="G51" s="150"/>
      <c r="H51" s="150"/>
      <c r="I51" s="150"/>
      <c r="J51" s="150"/>
      <c r="K51" s="150"/>
      <c r="L51" s="150"/>
      <c r="M51" s="150"/>
      <c r="N51" s="151"/>
      <c r="Q51" s="46"/>
      <c r="R51" s="48"/>
      <c r="S51" s="49"/>
      <c r="T51" s="50"/>
      <c r="U51" s="51"/>
      <c r="V51" s="55"/>
    </row>
    <row r="52" spans="2:22" s="42" customFormat="1">
      <c r="B52" s="34"/>
      <c r="C52" s="44"/>
      <c r="D52" s="143" t="s">
        <v>15</v>
      </c>
      <c r="E52" s="144"/>
      <c r="F52" s="144"/>
      <c r="G52" s="144"/>
      <c r="H52" s="144"/>
      <c r="I52" s="144"/>
      <c r="J52" s="144"/>
      <c r="K52" s="144"/>
      <c r="L52" s="144"/>
      <c r="M52" s="144"/>
      <c r="N52" s="145"/>
      <c r="Q52" s="46" t="s">
        <v>12</v>
      </c>
      <c r="R52" s="48"/>
      <c r="S52" s="49"/>
      <c r="T52" s="50"/>
      <c r="U52" s="51"/>
      <c r="V52" s="55"/>
    </row>
    <row r="53" spans="2:22" ht="15.75" thickBot="1">
      <c r="B53" s="37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141" t="str">
        <f>IF(ABR="risque",S53,"")</f>
        <v/>
      </c>
      <c r="N53" s="142"/>
      <c r="Q53" s="46"/>
      <c r="R53" s="48">
        <f>IF(AND(C51=Q51,C52=Q52),1,0)</f>
        <v>0</v>
      </c>
      <c r="S53" s="49" t="str">
        <f>IF(R53=1,"Bonne réponse","Mauvaise réponse")</f>
        <v>Mauvaise réponse</v>
      </c>
      <c r="T53" s="50"/>
      <c r="U53" s="51"/>
      <c r="V53" s="55"/>
    </row>
    <row r="54" spans="2:22" ht="15.75" thickBot="1">
      <c r="B54" s="39" t="s">
        <v>19</v>
      </c>
      <c r="C54" s="33"/>
      <c r="D54" s="146" t="s">
        <v>130</v>
      </c>
      <c r="E54" s="146"/>
      <c r="F54" s="146"/>
      <c r="G54" s="146"/>
      <c r="H54" s="146"/>
      <c r="I54" s="146"/>
      <c r="J54" s="146"/>
      <c r="K54" s="146"/>
      <c r="L54" s="146"/>
      <c r="M54" s="146"/>
      <c r="N54" s="147"/>
      <c r="Q54" s="46"/>
      <c r="R54" s="48"/>
      <c r="S54" s="49"/>
      <c r="T54" s="50"/>
      <c r="U54" s="51"/>
      <c r="V54" s="55"/>
    </row>
    <row r="55" spans="2:22">
      <c r="B55" s="34"/>
      <c r="C55" s="35"/>
      <c r="D55" s="148"/>
      <c r="E55" s="148"/>
      <c r="F55" s="148"/>
      <c r="G55" s="148"/>
      <c r="H55" s="148"/>
      <c r="I55" s="148"/>
      <c r="J55" s="148"/>
      <c r="K55" s="148"/>
      <c r="L55" s="148"/>
      <c r="M55" s="148"/>
      <c r="N55" s="149"/>
      <c r="Q55" s="46"/>
      <c r="R55" s="48"/>
      <c r="S55" s="49"/>
      <c r="T55" s="50"/>
      <c r="U55" s="51"/>
      <c r="V55" s="55"/>
    </row>
    <row r="56" spans="2:22">
      <c r="B56" s="34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6"/>
      <c r="Q56" s="46"/>
      <c r="R56" s="48"/>
      <c r="S56" s="49"/>
      <c r="T56" s="50"/>
      <c r="U56" s="51"/>
      <c r="V56" s="55"/>
    </row>
    <row r="57" spans="2:22">
      <c r="B57" s="34"/>
      <c r="C57" s="44"/>
      <c r="D57" s="143" t="s">
        <v>14</v>
      </c>
      <c r="E57" s="150"/>
      <c r="F57" s="150"/>
      <c r="G57" s="150"/>
      <c r="H57" s="150"/>
      <c r="I57" s="150"/>
      <c r="J57" s="150"/>
      <c r="K57" s="150"/>
      <c r="L57" s="150"/>
      <c r="M57" s="150"/>
      <c r="N57" s="151"/>
      <c r="Q57" s="46" t="s">
        <v>12</v>
      </c>
      <c r="R57" s="48"/>
      <c r="S57" s="49"/>
      <c r="T57" s="50"/>
      <c r="U57" s="51"/>
      <c r="V57" s="55"/>
    </row>
    <row r="58" spans="2:22" s="42" customFormat="1">
      <c r="B58" s="34"/>
      <c r="C58" s="44"/>
      <c r="D58" s="143" t="s">
        <v>15</v>
      </c>
      <c r="E58" s="144"/>
      <c r="F58" s="144"/>
      <c r="G58" s="144"/>
      <c r="H58" s="144"/>
      <c r="I58" s="144"/>
      <c r="J58" s="144"/>
      <c r="K58" s="144"/>
      <c r="L58" s="144"/>
      <c r="M58" s="144"/>
      <c r="N58" s="145"/>
      <c r="Q58" s="46"/>
      <c r="R58" s="48"/>
      <c r="S58" s="49"/>
      <c r="T58" s="50"/>
      <c r="U58" s="51"/>
      <c r="V58" s="55"/>
    </row>
    <row r="59" spans="2:22" ht="15.75" thickBot="1">
      <c r="B59" s="37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141" t="str">
        <f>IF(ABR="risque",S59,"")</f>
        <v/>
      </c>
      <c r="N59" s="142"/>
      <c r="Q59" s="46"/>
      <c r="R59" s="48">
        <f>IF(AND(C57=Q57,C58=Q58),1,0)</f>
        <v>0</v>
      </c>
      <c r="S59" s="49" t="str">
        <f>IF(R59=1,"Bonne réponse","Mauvaise réponse")</f>
        <v>Mauvaise réponse</v>
      </c>
      <c r="T59" s="50"/>
      <c r="U59" s="51"/>
      <c r="V59" s="55"/>
    </row>
    <row r="60" spans="2:22" ht="15.75" thickBot="1">
      <c r="B60" s="39" t="s">
        <v>20</v>
      </c>
      <c r="C60" s="33"/>
      <c r="D60" s="146" t="s">
        <v>131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7"/>
      <c r="Q60" s="46"/>
      <c r="R60" s="48"/>
      <c r="S60" s="49"/>
      <c r="T60" s="50"/>
      <c r="U60" s="51"/>
      <c r="V60" s="55"/>
    </row>
    <row r="61" spans="2:22">
      <c r="B61" s="34"/>
      <c r="C61" s="35"/>
      <c r="D61" s="148"/>
      <c r="E61" s="148"/>
      <c r="F61" s="148"/>
      <c r="G61" s="148"/>
      <c r="H61" s="148"/>
      <c r="I61" s="148"/>
      <c r="J61" s="148"/>
      <c r="K61" s="148"/>
      <c r="L61" s="148"/>
      <c r="M61" s="148"/>
      <c r="N61" s="149"/>
      <c r="Q61" s="46"/>
      <c r="R61" s="48"/>
      <c r="S61" s="49"/>
      <c r="T61" s="50"/>
      <c r="U61" s="51"/>
      <c r="V61" s="55"/>
    </row>
    <row r="62" spans="2:22">
      <c r="B62" s="34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6"/>
      <c r="Q62" s="46"/>
      <c r="R62" s="48"/>
      <c r="S62" s="49"/>
      <c r="T62" s="50"/>
      <c r="U62" s="51"/>
      <c r="V62" s="55"/>
    </row>
    <row r="63" spans="2:22">
      <c r="B63" s="34"/>
      <c r="C63" s="40"/>
      <c r="D63" s="143" t="s">
        <v>14</v>
      </c>
      <c r="E63" s="150"/>
      <c r="F63" s="150"/>
      <c r="G63" s="150"/>
      <c r="H63" s="150"/>
      <c r="I63" s="150"/>
      <c r="J63" s="150"/>
      <c r="K63" s="150"/>
      <c r="L63" s="150"/>
      <c r="M63" s="150"/>
      <c r="N63" s="151"/>
      <c r="Q63" s="46"/>
      <c r="R63" s="48"/>
      <c r="S63" s="49"/>
      <c r="T63" s="50"/>
      <c r="U63" s="51"/>
      <c r="V63" s="55"/>
    </row>
    <row r="64" spans="2:22">
      <c r="B64" s="34"/>
      <c r="C64" s="44"/>
      <c r="D64" s="143" t="s">
        <v>15</v>
      </c>
      <c r="E64" s="150"/>
      <c r="F64" s="150"/>
      <c r="G64" s="150"/>
      <c r="H64" s="150"/>
      <c r="I64" s="150"/>
      <c r="J64" s="150"/>
      <c r="K64" s="150"/>
      <c r="L64" s="150"/>
      <c r="M64" s="150"/>
      <c r="N64" s="151"/>
      <c r="Q64" s="46" t="s">
        <v>12</v>
      </c>
      <c r="R64" s="48"/>
      <c r="S64" s="49"/>
      <c r="T64" s="50"/>
      <c r="U64" s="51"/>
      <c r="V64" s="55"/>
    </row>
    <row r="65" spans="2:22" ht="15.75" thickBot="1">
      <c r="B65" s="37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141" t="str">
        <f>IF(ABR="risque",S65,"")</f>
        <v/>
      </c>
      <c r="N65" s="142"/>
      <c r="Q65" s="46"/>
      <c r="R65" s="48">
        <f>IF(AND(C63=Q63,C64=Q64),1,0)</f>
        <v>0</v>
      </c>
      <c r="S65" s="49" t="str">
        <f>IF(R65=1,"Bonne réponse","Mauvaise réponse")</f>
        <v>Mauvaise réponse</v>
      </c>
      <c r="T65" s="50"/>
      <c r="U65" s="51"/>
      <c r="V65" s="55"/>
    </row>
    <row r="66" spans="2:22" ht="15.75" thickBot="1">
      <c r="B66" s="79" t="s">
        <v>90</v>
      </c>
      <c r="C66" s="33"/>
      <c r="D66" s="146" t="s">
        <v>132</v>
      </c>
      <c r="E66" s="146"/>
      <c r="F66" s="146"/>
      <c r="G66" s="146"/>
      <c r="H66" s="146"/>
      <c r="I66" s="146"/>
      <c r="J66" s="146"/>
      <c r="K66" s="146"/>
      <c r="L66" s="146"/>
      <c r="M66" s="146"/>
      <c r="N66" s="147"/>
      <c r="Q66" s="46"/>
      <c r="R66" s="48"/>
      <c r="S66" s="49"/>
      <c r="T66" s="50"/>
      <c r="U66" s="51"/>
      <c r="V66" s="55"/>
    </row>
    <row r="67" spans="2:22">
      <c r="B67" s="34"/>
      <c r="C67" s="35"/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9"/>
      <c r="Q67" s="46"/>
      <c r="R67" s="48"/>
      <c r="S67" s="49"/>
      <c r="T67" s="50"/>
      <c r="U67" s="51"/>
      <c r="V67" s="55"/>
    </row>
    <row r="68" spans="2:22">
      <c r="B68" s="34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6"/>
      <c r="Q68" s="46"/>
      <c r="R68" s="48"/>
      <c r="S68" s="49"/>
      <c r="T68" s="50"/>
      <c r="U68" s="51"/>
      <c r="V68" s="55"/>
    </row>
    <row r="69" spans="2:22">
      <c r="B69" s="34"/>
      <c r="C69" s="44"/>
      <c r="D69" s="143" t="s">
        <v>133</v>
      </c>
      <c r="E69" s="150"/>
      <c r="F69" s="150"/>
      <c r="G69" s="150"/>
      <c r="H69" s="150"/>
      <c r="I69" s="150"/>
      <c r="J69" s="150"/>
      <c r="K69" s="150"/>
      <c r="L69" s="150"/>
      <c r="M69" s="150"/>
      <c r="N69" s="151"/>
      <c r="Q69" s="46"/>
      <c r="R69" s="48"/>
      <c r="S69" s="49"/>
      <c r="T69" s="50"/>
      <c r="U69" s="51"/>
      <c r="V69" s="55"/>
    </row>
    <row r="70" spans="2:22">
      <c r="B70" s="34"/>
      <c r="C70" s="44"/>
      <c r="D70" s="143" t="s">
        <v>134</v>
      </c>
      <c r="E70" s="150"/>
      <c r="F70" s="150"/>
      <c r="G70" s="150"/>
      <c r="H70" s="150"/>
      <c r="I70" s="150"/>
      <c r="J70" s="150"/>
      <c r="K70" s="150"/>
      <c r="L70" s="150"/>
      <c r="M70" s="150"/>
      <c r="N70" s="151"/>
      <c r="Q70" s="46"/>
      <c r="R70" s="48"/>
      <c r="S70" s="49"/>
      <c r="T70" s="50"/>
      <c r="U70" s="51"/>
      <c r="V70" s="55"/>
    </row>
    <row r="71" spans="2:22">
      <c r="B71" s="34"/>
      <c r="C71" s="44"/>
      <c r="D71" s="143" t="s">
        <v>135</v>
      </c>
      <c r="E71" s="150"/>
      <c r="F71" s="150"/>
      <c r="G71" s="150"/>
      <c r="H71" s="150"/>
      <c r="I71" s="150"/>
      <c r="J71" s="150"/>
      <c r="K71" s="150"/>
      <c r="L71" s="150"/>
      <c r="M71" s="150"/>
      <c r="N71" s="151"/>
      <c r="Q71" s="46" t="s">
        <v>12</v>
      </c>
      <c r="R71" s="48"/>
      <c r="S71" s="49"/>
      <c r="T71" s="50"/>
      <c r="U71" s="51"/>
      <c r="V71" s="55"/>
    </row>
    <row r="72" spans="2:22" ht="15.75" thickBot="1">
      <c r="B72" s="37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141" t="str">
        <f>IF(ABR="risque",S72,"")</f>
        <v/>
      </c>
      <c r="N72" s="142"/>
      <c r="Q72" s="46"/>
      <c r="R72" s="48">
        <f>IF(AND(C69=Q69,C70=Q70,C71=Q71),1,0)</f>
        <v>0</v>
      </c>
      <c r="S72" s="49" t="str">
        <f>IF(R72=1,"Bonne réponse","Mauvaise réponse")</f>
        <v>Mauvaise réponse</v>
      </c>
      <c r="T72" s="50"/>
      <c r="U72" s="51"/>
      <c r="V72" s="55"/>
    </row>
    <row r="73" spans="2:22" ht="15.75" thickBot="1">
      <c r="B73" s="39" t="s">
        <v>21</v>
      </c>
      <c r="C73" s="33"/>
      <c r="D73" s="146" t="s">
        <v>136</v>
      </c>
      <c r="E73" s="146"/>
      <c r="F73" s="146"/>
      <c r="G73" s="146"/>
      <c r="H73" s="146"/>
      <c r="I73" s="146"/>
      <c r="J73" s="146"/>
      <c r="K73" s="146"/>
      <c r="L73" s="146"/>
      <c r="M73" s="146"/>
      <c r="N73" s="147"/>
      <c r="Q73" s="46"/>
      <c r="R73" s="48"/>
      <c r="S73" s="49"/>
      <c r="T73" s="50"/>
      <c r="U73" s="51"/>
      <c r="V73" s="55"/>
    </row>
    <row r="74" spans="2:22">
      <c r="B74" s="34"/>
      <c r="C74" s="35"/>
      <c r="D74" s="148"/>
      <c r="E74" s="148"/>
      <c r="F74" s="148"/>
      <c r="G74" s="148"/>
      <c r="H74" s="148"/>
      <c r="I74" s="148"/>
      <c r="J74" s="148"/>
      <c r="K74" s="148"/>
      <c r="L74" s="148"/>
      <c r="M74" s="148"/>
      <c r="N74" s="149"/>
      <c r="Q74" s="46"/>
      <c r="R74" s="48"/>
      <c r="S74" s="49"/>
      <c r="T74" s="50"/>
      <c r="U74" s="51"/>
      <c r="V74" s="55"/>
    </row>
    <row r="75" spans="2:22">
      <c r="B75" s="34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6"/>
      <c r="Q75" s="46"/>
      <c r="R75" s="48"/>
      <c r="S75" s="49"/>
      <c r="T75" s="50"/>
      <c r="U75" s="51"/>
      <c r="V75" s="55"/>
    </row>
    <row r="76" spans="2:22">
      <c r="B76" s="34"/>
      <c r="C76" s="44"/>
      <c r="D76" s="143" t="s">
        <v>137</v>
      </c>
      <c r="E76" s="150"/>
      <c r="F76" s="150"/>
      <c r="G76" s="150"/>
      <c r="H76" s="150"/>
      <c r="I76" s="150"/>
      <c r="J76" s="150"/>
      <c r="K76" s="150"/>
      <c r="L76" s="150"/>
      <c r="M76" s="150"/>
      <c r="N76" s="151"/>
      <c r="Q76" s="46" t="s">
        <v>12</v>
      </c>
      <c r="R76" s="48"/>
      <c r="S76" s="49"/>
      <c r="T76" s="50"/>
      <c r="U76" s="51"/>
      <c r="V76" s="55"/>
    </row>
    <row r="77" spans="2:22">
      <c r="B77" s="34"/>
      <c r="C77" s="44"/>
      <c r="D77" s="143" t="s">
        <v>138</v>
      </c>
      <c r="E77" s="150"/>
      <c r="F77" s="150"/>
      <c r="G77" s="150"/>
      <c r="H77" s="150"/>
      <c r="I77" s="150"/>
      <c r="J77" s="150"/>
      <c r="K77" s="150"/>
      <c r="L77" s="150"/>
      <c r="M77" s="150"/>
      <c r="N77" s="151"/>
      <c r="Q77" s="46" t="s">
        <v>12</v>
      </c>
      <c r="R77" s="48"/>
      <c r="S77" s="49"/>
      <c r="T77" s="50"/>
      <c r="U77" s="51"/>
      <c r="V77" s="55"/>
    </row>
    <row r="78" spans="2:22">
      <c r="B78" s="34"/>
      <c r="C78" s="40"/>
      <c r="D78" s="143" t="s">
        <v>139</v>
      </c>
      <c r="E78" s="150"/>
      <c r="F78" s="150"/>
      <c r="G78" s="150"/>
      <c r="H78" s="150"/>
      <c r="I78" s="150"/>
      <c r="J78" s="150"/>
      <c r="K78" s="150"/>
      <c r="L78" s="150"/>
      <c r="M78" s="150"/>
      <c r="N78" s="151"/>
      <c r="Q78" s="46"/>
      <c r="R78" s="48"/>
      <c r="S78" s="49"/>
      <c r="T78" s="50"/>
      <c r="U78" s="51"/>
      <c r="V78" s="55"/>
    </row>
    <row r="79" spans="2:22" ht="15.75" thickBot="1">
      <c r="B79" s="37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141" t="str">
        <f>IF(ABR="risque",S79,"")</f>
        <v/>
      </c>
      <c r="N79" s="142"/>
      <c r="Q79" s="46"/>
      <c r="R79" s="48">
        <f>IF(AND(C76=Q76,C77=Q77,C78=Q78),1,0)</f>
        <v>0</v>
      </c>
      <c r="S79" s="49" t="str">
        <f>IF(R79=1,"Bonne réponse","Mauvaise réponse")</f>
        <v>Mauvaise réponse</v>
      </c>
      <c r="T79" s="50">
        <f>COUNTA(M39:M80)</f>
        <v>6</v>
      </c>
      <c r="U79" s="51">
        <f>SUM(R39:R80)/NBQ_2</f>
        <v>0</v>
      </c>
      <c r="V79" s="55">
        <f>IF(AND(R47=1,R72=1),1,0)</f>
        <v>0</v>
      </c>
    </row>
    <row r="80" spans="2:22">
      <c r="B80" s="152" t="s">
        <v>91</v>
      </c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4"/>
      <c r="Q80" s="46"/>
      <c r="R80" s="48"/>
      <c r="S80" s="49"/>
      <c r="T80" s="50"/>
      <c r="U80" s="51"/>
      <c r="V80" s="55"/>
    </row>
    <row r="81" spans="2:22" ht="15.75" thickBot="1">
      <c r="B81" s="155"/>
      <c r="C81" s="156"/>
      <c r="D81" s="156"/>
      <c r="E81" s="156"/>
      <c r="F81" s="156"/>
      <c r="G81" s="156"/>
      <c r="H81" s="156"/>
      <c r="I81" s="156"/>
      <c r="J81" s="156"/>
      <c r="K81" s="156"/>
      <c r="L81" s="156"/>
      <c r="M81" s="156"/>
      <c r="N81" s="157"/>
      <c r="Q81" s="46"/>
      <c r="R81" s="48"/>
      <c r="S81" s="49"/>
      <c r="T81" s="50"/>
      <c r="U81" s="51"/>
      <c r="V81" s="55"/>
    </row>
    <row r="82" spans="2:22" ht="15.75" thickBot="1">
      <c r="B82" s="39" t="s">
        <v>22</v>
      </c>
      <c r="C82" s="33"/>
      <c r="D82" s="146" t="s">
        <v>140</v>
      </c>
      <c r="E82" s="146"/>
      <c r="F82" s="146"/>
      <c r="G82" s="146"/>
      <c r="H82" s="146"/>
      <c r="I82" s="146"/>
      <c r="J82" s="146"/>
      <c r="K82" s="146"/>
      <c r="L82" s="146"/>
      <c r="M82" s="146"/>
      <c r="N82" s="147"/>
      <c r="Q82" s="46"/>
      <c r="R82" s="48"/>
      <c r="S82" s="49"/>
      <c r="T82" s="50"/>
      <c r="U82" s="51"/>
      <c r="V82" s="55"/>
    </row>
    <row r="83" spans="2:22">
      <c r="B83" s="34"/>
      <c r="C83" s="35"/>
      <c r="D83" s="148"/>
      <c r="E83" s="148"/>
      <c r="F83" s="148"/>
      <c r="G83" s="148"/>
      <c r="H83" s="148"/>
      <c r="I83" s="148"/>
      <c r="J83" s="148"/>
      <c r="K83" s="148"/>
      <c r="L83" s="148"/>
      <c r="M83" s="148"/>
      <c r="N83" s="149"/>
      <c r="Q83" s="46"/>
      <c r="R83" s="48"/>
      <c r="S83" s="49"/>
      <c r="T83" s="50"/>
      <c r="U83" s="51"/>
      <c r="V83" s="55"/>
    </row>
    <row r="84" spans="2:22">
      <c r="B84" s="34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6"/>
      <c r="Q84" s="46"/>
      <c r="R84" s="48"/>
      <c r="S84" s="49"/>
      <c r="T84" s="50"/>
      <c r="U84" s="51"/>
      <c r="V84" s="55"/>
    </row>
    <row r="85" spans="2:22">
      <c r="B85" s="34"/>
      <c r="C85" s="44"/>
      <c r="D85" s="143" t="s">
        <v>14</v>
      </c>
      <c r="E85" s="150"/>
      <c r="F85" s="150"/>
      <c r="G85" s="150"/>
      <c r="H85" s="150"/>
      <c r="I85" s="150"/>
      <c r="J85" s="150"/>
      <c r="K85" s="150"/>
      <c r="L85" s="150"/>
      <c r="M85" s="150"/>
      <c r="N85" s="151"/>
      <c r="Q85" s="46"/>
      <c r="R85" s="48"/>
      <c r="S85" s="49"/>
      <c r="T85" s="50"/>
      <c r="U85" s="51"/>
      <c r="V85" s="55"/>
    </row>
    <row r="86" spans="2:22">
      <c r="B86" s="34"/>
      <c r="C86" s="44"/>
      <c r="D86" s="143" t="s">
        <v>15</v>
      </c>
      <c r="E86" s="150"/>
      <c r="F86" s="150"/>
      <c r="G86" s="150"/>
      <c r="H86" s="150"/>
      <c r="I86" s="150"/>
      <c r="J86" s="150"/>
      <c r="K86" s="150"/>
      <c r="L86" s="150"/>
      <c r="M86" s="150"/>
      <c r="N86" s="151"/>
      <c r="Q86" s="46" t="s">
        <v>12</v>
      </c>
      <c r="R86" s="48"/>
      <c r="S86" s="49"/>
      <c r="T86" s="50"/>
      <c r="U86" s="51"/>
      <c r="V86" s="55"/>
    </row>
    <row r="87" spans="2:22" ht="15.75" thickBot="1">
      <c r="B87" s="37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141" t="str">
        <f>IF(ABR="risque",S87,"")</f>
        <v/>
      </c>
      <c r="N87" s="142"/>
      <c r="Q87" s="46"/>
      <c r="R87" s="48">
        <f>IF(AND(C85=Q85,C86=Q86),1,0)</f>
        <v>0</v>
      </c>
      <c r="S87" s="49" t="str">
        <f>IF(R87=1,"Bonne réponse","Mauvaise réponse")</f>
        <v>Mauvaise réponse</v>
      </c>
      <c r="T87" s="50"/>
      <c r="U87" s="51"/>
      <c r="V87" s="55"/>
    </row>
    <row r="88" spans="2:22" ht="15.75" thickBot="1">
      <c r="B88" s="41" t="s">
        <v>23</v>
      </c>
      <c r="C88" s="33"/>
      <c r="D88" s="146" t="s">
        <v>141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7"/>
      <c r="Q88" s="46"/>
      <c r="R88" s="48"/>
      <c r="S88" s="49"/>
      <c r="T88" s="50"/>
      <c r="U88" s="51"/>
      <c r="V88" s="55"/>
    </row>
    <row r="89" spans="2:22">
      <c r="B89" s="34"/>
      <c r="C89" s="35"/>
      <c r="D89" s="148"/>
      <c r="E89" s="148"/>
      <c r="F89" s="148"/>
      <c r="G89" s="148"/>
      <c r="H89" s="148"/>
      <c r="I89" s="148"/>
      <c r="J89" s="148"/>
      <c r="K89" s="148"/>
      <c r="L89" s="148"/>
      <c r="M89" s="148"/>
      <c r="N89" s="149"/>
      <c r="Q89" s="46"/>
      <c r="R89" s="48"/>
      <c r="S89" s="49"/>
      <c r="T89" s="50"/>
      <c r="U89" s="51"/>
      <c r="V89" s="55"/>
    </row>
    <row r="90" spans="2:22">
      <c r="B90" s="34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6"/>
      <c r="Q90" s="46"/>
      <c r="R90" s="48"/>
      <c r="S90" s="49"/>
      <c r="T90" s="50"/>
      <c r="U90" s="51"/>
      <c r="V90" s="55"/>
    </row>
    <row r="91" spans="2:22">
      <c r="B91" s="34"/>
      <c r="C91" s="44"/>
      <c r="D91" s="143" t="s">
        <v>142</v>
      </c>
      <c r="E91" s="150"/>
      <c r="F91" s="150"/>
      <c r="G91" s="150"/>
      <c r="H91" s="150"/>
      <c r="I91" s="150"/>
      <c r="J91" s="150"/>
      <c r="K91" s="150"/>
      <c r="L91" s="150"/>
      <c r="M91" s="150"/>
      <c r="N91" s="151"/>
      <c r="Q91" s="46"/>
      <c r="R91" s="48"/>
      <c r="S91" s="49"/>
      <c r="T91" s="50"/>
      <c r="U91" s="51"/>
      <c r="V91" s="55"/>
    </row>
    <row r="92" spans="2:22">
      <c r="B92" s="34"/>
      <c r="C92" s="44"/>
      <c r="D92" s="143" t="s">
        <v>143</v>
      </c>
      <c r="E92" s="150"/>
      <c r="F92" s="150"/>
      <c r="G92" s="150"/>
      <c r="H92" s="150"/>
      <c r="I92" s="150"/>
      <c r="J92" s="150"/>
      <c r="K92" s="150"/>
      <c r="L92" s="150"/>
      <c r="M92" s="150"/>
      <c r="N92" s="151"/>
      <c r="Q92" s="46" t="s">
        <v>12</v>
      </c>
      <c r="R92" s="48"/>
      <c r="S92" s="49"/>
      <c r="T92" s="50"/>
      <c r="U92" s="51"/>
      <c r="V92" s="55"/>
    </row>
    <row r="93" spans="2:22" s="42" customFormat="1">
      <c r="B93" s="34"/>
      <c r="C93" s="44"/>
      <c r="D93" s="76" t="s">
        <v>144</v>
      </c>
      <c r="E93" s="77"/>
      <c r="F93" s="77"/>
      <c r="G93" s="77"/>
      <c r="H93" s="77"/>
      <c r="I93" s="77"/>
      <c r="J93" s="77"/>
      <c r="K93" s="77"/>
      <c r="L93" s="77"/>
      <c r="M93" s="77"/>
      <c r="N93" s="78"/>
      <c r="Q93" s="46"/>
      <c r="R93" s="48"/>
      <c r="S93" s="49"/>
      <c r="T93" s="50"/>
      <c r="U93" s="51"/>
      <c r="V93" s="55"/>
    </row>
    <row r="94" spans="2:22">
      <c r="B94" s="34"/>
      <c r="C94" s="44"/>
      <c r="D94" s="143" t="s">
        <v>145</v>
      </c>
      <c r="E94" s="150"/>
      <c r="F94" s="150"/>
      <c r="G94" s="150"/>
      <c r="H94" s="150"/>
      <c r="I94" s="150"/>
      <c r="J94" s="150"/>
      <c r="K94" s="150"/>
      <c r="L94" s="150"/>
      <c r="M94" s="150"/>
      <c r="N94" s="151"/>
      <c r="Q94" s="46" t="s">
        <v>12</v>
      </c>
      <c r="R94" s="48"/>
      <c r="S94" s="49"/>
      <c r="T94" s="50"/>
      <c r="U94" s="51"/>
      <c r="V94" s="55"/>
    </row>
    <row r="95" spans="2:22" ht="15.75" thickBot="1">
      <c r="B95" s="37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141" t="str">
        <f>IF(ABR="risque",S95,"")</f>
        <v/>
      </c>
      <c r="N95" s="142"/>
      <c r="Q95" s="46"/>
      <c r="R95" s="48">
        <f>IF(AND(C91=Q91,C92=Q92,C93=Q93,C94=Q94),1,0)</f>
        <v>0</v>
      </c>
      <c r="S95" s="49" t="str">
        <f>IF(R95=1,"Bonne réponse","Mauvaise réponse")</f>
        <v>Mauvaise réponse</v>
      </c>
      <c r="T95" s="50"/>
      <c r="U95" s="51"/>
      <c r="V95" s="55"/>
    </row>
    <row r="96" spans="2:22" ht="15.75" thickBot="1">
      <c r="B96" s="39" t="s">
        <v>24</v>
      </c>
      <c r="C96" s="33"/>
      <c r="D96" s="146" t="s">
        <v>146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7"/>
      <c r="Q96" s="46"/>
      <c r="R96" s="48"/>
      <c r="S96" s="49"/>
      <c r="T96" s="50"/>
      <c r="U96" s="51"/>
      <c r="V96" s="55"/>
    </row>
    <row r="97" spans="2:22">
      <c r="B97" s="34"/>
      <c r="C97" s="35"/>
      <c r="D97" s="148"/>
      <c r="E97" s="148"/>
      <c r="F97" s="148"/>
      <c r="G97" s="148"/>
      <c r="H97" s="148"/>
      <c r="I97" s="148"/>
      <c r="J97" s="148"/>
      <c r="K97" s="148"/>
      <c r="L97" s="148"/>
      <c r="M97" s="148"/>
      <c r="N97" s="149"/>
      <c r="Q97" s="46"/>
      <c r="R97" s="48"/>
      <c r="S97" s="49"/>
      <c r="T97" s="50"/>
      <c r="U97" s="51"/>
      <c r="V97" s="55"/>
    </row>
    <row r="98" spans="2:22">
      <c r="B98" s="34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6"/>
      <c r="Q98" s="46"/>
      <c r="R98" s="48"/>
      <c r="S98" s="49"/>
      <c r="T98" s="50"/>
      <c r="U98" s="51"/>
      <c r="V98" s="55"/>
    </row>
    <row r="99" spans="2:22">
      <c r="B99" s="34"/>
      <c r="C99" s="44"/>
      <c r="D99" s="143" t="s">
        <v>14</v>
      </c>
      <c r="E99" s="150"/>
      <c r="F99" s="150"/>
      <c r="G99" s="150"/>
      <c r="H99" s="150"/>
      <c r="I99" s="150"/>
      <c r="J99" s="150"/>
      <c r="K99" s="150"/>
      <c r="L99" s="150"/>
      <c r="M99" s="150"/>
      <c r="N99" s="151"/>
      <c r="Q99" s="46" t="s">
        <v>12</v>
      </c>
      <c r="R99" s="48"/>
      <c r="S99" s="49"/>
      <c r="T99" s="50"/>
      <c r="U99" s="51"/>
      <c r="V99" s="55"/>
    </row>
    <row r="100" spans="2:22">
      <c r="B100" s="34"/>
      <c r="C100" s="44"/>
      <c r="D100" s="143" t="s">
        <v>15</v>
      </c>
      <c r="E100" s="150"/>
      <c r="F100" s="150"/>
      <c r="G100" s="150"/>
      <c r="H100" s="150"/>
      <c r="I100" s="150"/>
      <c r="J100" s="150"/>
      <c r="K100" s="150"/>
      <c r="L100" s="150"/>
      <c r="M100" s="150"/>
      <c r="N100" s="151"/>
      <c r="Q100" s="46"/>
      <c r="R100" s="48"/>
      <c r="S100" s="49"/>
      <c r="T100" s="50"/>
      <c r="U100" s="51"/>
      <c r="V100" s="55"/>
    </row>
    <row r="101" spans="2:22" ht="15.75" thickBot="1">
      <c r="B101" s="37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141" t="str">
        <f>IF(ABR="risque",S101,"")</f>
        <v/>
      </c>
      <c r="N101" s="142"/>
      <c r="Q101" s="46"/>
      <c r="R101" s="48">
        <f>IF(AND(C99=Q99,C100=Q100),1,0)</f>
        <v>0</v>
      </c>
      <c r="S101" s="49" t="str">
        <f>IF(R101=1,"Bonne réponse","Mauvaise réponse")</f>
        <v>Mauvaise réponse</v>
      </c>
      <c r="T101" s="50"/>
      <c r="U101" s="51"/>
      <c r="V101" s="55"/>
    </row>
    <row r="102" spans="2:22" ht="15.75" thickBot="1">
      <c r="B102" s="39" t="s">
        <v>25</v>
      </c>
      <c r="C102" s="33"/>
      <c r="D102" s="146" t="s">
        <v>147</v>
      </c>
      <c r="E102" s="146"/>
      <c r="F102" s="146"/>
      <c r="G102" s="146"/>
      <c r="H102" s="146"/>
      <c r="I102" s="146"/>
      <c r="J102" s="146"/>
      <c r="K102" s="146"/>
      <c r="L102" s="146"/>
      <c r="M102" s="146"/>
      <c r="N102" s="147"/>
      <c r="Q102" s="46"/>
      <c r="R102" s="48"/>
      <c r="S102" s="49"/>
      <c r="T102" s="50"/>
      <c r="U102" s="51"/>
      <c r="V102" s="55"/>
    </row>
    <row r="103" spans="2:22">
      <c r="B103" s="34"/>
      <c r="C103" s="35"/>
      <c r="D103" s="148"/>
      <c r="E103" s="148"/>
      <c r="F103" s="148"/>
      <c r="G103" s="148"/>
      <c r="H103" s="148"/>
      <c r="I103" s="148"/>
      <c r="J103" s="148"/>
      <c r="K103" s="148"/>
      <c r="L103" s="148"/>
      <c r="M103" s="148"/>
      <c r="N103" s="149"/>
      <c r="Q103" s="46"/>
      <c r="R103" s="48"/>
      <c r="S103" s="49"/>
      <c r="T103" s="50"/>
      <c r="U103" s="51"/>
      <c r="V103" s="55"/>
    </row>
    <row r="104" spans="2:22">
      <c r="B104" s="34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6"/>
      <c r="Q104" s="46"/>
      <c r="R104" s="48"/>
      <c r="S104" s="49"/>
      <c r="T104" s="50"/>
      <c r="U104" s="51"/>
      <c r="V104" s="55"/>
    </row>
    <row r="105" spans="2:22">
      <c r="B105" s="34"/>
      <c r="C105" s="44"/>
      <c r="D105" s="143" t="s">
        <v>14</v>
      </c>
      <c r="E105" s="150"/>
      <c r="F105" s="150"/>
      <c r="G105" s="150"/>
      <c r="H105" s="150"/>
      <c r="I105" s="150"/>
      <c r="J105" s="150"/>
      <c r="K105" s="150"/>
      <c r="L105" s="150"/>
      <c r="M105" s="150"/>
      <c r="N105" s="151"/>
      <c r="Q105" s="46" t="s">
        <v>12</v>
      </c>
      <c r="R105" s="48"/>
      <c r="S105" s="49"/>
      <c r="T105" s="50"/>
      <c r="U105" s="51"/>
      <c r="V105" s="55"/>
    </row>
    <row r="106" spans="2:22">
      <c r="B106" s="34"/>
      <c r="C106" s="44"/>
      <c r="D106" s="143" t="s">
        <v>15</v>
      </c>
      <c r="E106" s="150"/>
      <c r="F106" s="150"/>
      <c r="G106" s="150"/>
      <c r="H106" s="150"/>
      <c r="I106" s="150"/>
      <c r="J106" s="150"/>
      <c r="K106" s="150"/>
      <c r="L106" s="150"/>
      <c r="M106" s="150"/>
      <c r="N106" s="151"/>
      <c r="Q106" s="46"/>
      <c r="R106" s="48"/>
      <c r="S106" s="49"/>
      <c r="T106" s="50"/>
      <c r="U106" s="51"/>
      <c r="V106" s="55"/>
    </row>
    <row r="107" spans="2:22" ht="15.75" thickBot="1">
      <c r="B107" s="37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141" t="str">
        <f>IF(ABR="risque",S107,"")</f>
        <v/>
      </c>
      <c r="N107" s="142"/>
      <c r="Q107" s="46"/>
      <c r="R107" s="48">
        <f>IF(AND(C105=Q105,C106=Q106),1,0)</f>
        <v>0</v>
      </c>
      <c r="S107" s="49" t="str">
        <f>IF(R107=1,"Bonne réponse","Mauvaise réponse")</f>
        <v>Mauvaise réponse</v>
      </c>
      <c r="T107" s="50"/>
      <c r="U107" s="51"/>
      <c r="V107" s="55"/>
    </row>
    <row r="108" spans="2:22" ht="15.75" thickBot="1">
      <c r="B108" s="41" t="s">
        <v>152</v>
      </c>
      <c r="C108" s="33"/>
      <c r="D108" s="146" t="s">
        <v>148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7"/>
      <c r="Q108" s="46"/>
      <c r="R108" s="48"/>
      <c r="S108" s="49"/>
      <c r="T108" s="50"/>
      <c r="U108" s="51"/>
      <c r="V108" s="55"/>
    </row>
    <row r="109" spans="2:22">
      <c r="B109" s="34"/>
      <c r="C109" s="35"/>
      <c r="D109" s="148"/>
      <c r="E109" s="148"/>
      <c r="F109" s="148"/>
      <c r="G109" s="148"/>
      <c r="H109" s="148"/>
      <c r="I109" s="148"/>
      <c r="J109" s="148"/>
      <c r="K109" s="148"/>
      <c r="L109" s="148"/>
      <c r="M109" s="148"/>
      <c r="N109" s="149"/>
      <c r="Q109" s="46"/>
      <c r="R109" s="48"/>
      <c r="S109" s="49"/>
      <c r="T109" s="50"/>
      <c r="U109" s="51"/>
      <c r="V109" s="55"/>
    </row>
    <row r="110" spans="2:22">
      <c r="B110" s="34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6"/>
      <c r="Q110" s="46"/>
      <c r="R110" s="48"/>
      <c r="S110" s="49"/>
      <c r="T110" s="50"/>
      <c r="U110" s="51"/>
      <c r="V110" s="55"/>
    </row>
    <row r="111" spans="2:22">
      <c r="B111" s="34"/>
      <c r="C111" s="44"/>
      <c r="D111" s="143" t="s">
        <v>149</v>
      </c>
      <c r="E111" s="150"/>
      <c r="F111" s="150"/>
      <c r="G111" s="150"/>
      <c r="H111" s="150"/>
      <c r="I111" s="150"/>
      <c r="J111" s="150"/>
      <c r="K111" s="150"/>
      <c r="L111" s="150"/>
      <c r="M111" s="150"/>
      <c r="N111" s="151"/>
      <c r="Q111" s="46" t="s">
        <v>12</v>
      </c>
      <c r="R111" s="48"/>
      <c r="S111" s="49"/>
      <c r="T111" s="50"/>
      <c r="U111" s="51"/>
      <c r="V111" s="55"/>
    </row>
    <row r="112" spans="2:22" s="42" customFormat="1">
      <c r="B112" s="34"/>
      <c r="C112" s="44"/>
      <c r="D112" s="143" t="s">
        <v>150</v>
      </c>
      <c r="E112" s="150"/>
      <c r="F112" s="150"/>
      <c r="G112" s="150"/>
      <c r="H112" s="150"/>
      <c r="I112" s="150"/>
      <c r="J112" s="150"/>
      <c r="K112" s="150"/>
      <c r="L112" s="150"/>
      <c r="M112" s="150"/>
      <c r="N112" s="151"/>
      <c r="Q112" s="46" t="s">
        <v>12</v>
      </c>
      <c r="R112" s="48"/>
      <c r="S112" s="49"/>
      <c r="T112" s="50"/>
      <c r="U112" s="51"/>
      <c r="V112" s="55"/>
    </row>
    <row r="113" spans="2:22">
      <c r="B113" s="34"/>
      <c r="C113" s="44"/>
      <c r="D113" s="143" t="s">
        <v>151</v>
      </c>
      <c r="E113" s="150"/>
      <c r="F113" s="150"/>
      <c r="G113" s="150"/>
      <c r="H113" s="150"/>
      <c r="I113" s="150"/>
      <c r="J113" s="150"/>
      <c r="K113" s="150"/>
      <c r="L113" s="150"/>
      <c r="M113" s="150"/>
      <c r="N113" s="151"/>
      <c r="Q113" s="46"/>
      <c r="R113" s="48"/>
      <c r="S113" s="49"/>
      <c r="T113" s="50"/>
      <c r="U113" s="51"/>
      <c r="V113" s="55"/>
    </row>
    <row r="114" spans="2:22" ht="15.75" thickBot="1">
      <c r="B114" s="37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141" t="str">
        <f>IF(ABR="risque",S114,"")</f>
        <v/>
      </c>
      <c r="N114" s="142"/>
      <c r="Q114" s="46"/>
      <c r="R114" s="48">
        <f>IF(AND(C111=Q111,C112=Q112,C113=Q113),1,0)</f>
        <v>0</v>
      </c>
      <c r="S114" s="49" t="str">
        <f>IF(R114=1,"Bonne réponse","Mauvaise réponse")</f>
        <v>Mauvaise réponse</v>
      </c>
      <c r="T114" s="50">
        <f>COUNTA(M82:M115)</f>
        <v>5</v>
      </c>
      <c r="U114" s="51">
        <f>SUM(R81:R114)/NBQ_3</f>
        <v>0</v>
      </c>
      <c r="V114" s="55">
        <f>IF(AND(R95=1,R114=1),1,0)</f>
        <v>0</v>
      </c>
    </row>
    <row r="115" spans="2:22" s="42" customFormat="1">
      <c r="B115" s="152" t="s">
        <v>92</v>
      </c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4"/>
      <c r="Q115" s="46"/>
      <c r="R115" s="48"/>
      <c r="S115" s="49"/>
      <c r="T115" s="50"/>
      <c r="U115" s="51"/>
      <c r="V115" s="55"/>
    </row>
    <row r="116" spans="2:22" s="42" customFormat="1" ht="15.75" thickBot="1">
      <c r="B116" s="155"/>
      <c r="C116" s="156"/>
      <c r="D116" s="156"/>
      <c r="E116" s="156"/>
      <c r="F116" s="156"/>
      <c r="G116" s="156"/>
      <c r="H116" s="156"/>
      <c r="I116" s="156"/>
      <c r="J116" s="156"/>
      <c r="K116" s="156"/>
      <c r="L116" s="156"/>
      <c r="M116" s="156"/>
      <c r="N116" s="157"/>
      <c r="Q116" s="46"/>
      <c r="R116" s="48"/>
      <c r="S116" s="49"/>
      <c r="T116" s="50"/>
      <c r="U116" s="51"/>
      <c r="V116" s="55"/>
    </row>
    <row r="117" spans="2:22" s="42" customFormat="1" ht="15.75" thickBot="1">
      <c r="B117" s="39" t="s">
        <v>93</v>
      </c>
      <c r="C117" s="33"/>
      <c r="D117" s="146" t="s">
        <v>153</v>
      </c>
      <c r="E117" s="146"/>
      <c r="F117" s="146"/>
      <c r="G117" s="146"/>
      <c r="H117" s="146"/>
      <c r="I117" s="146"/>
      <c r="J117" s="146"/>
      <c r="K117" s="146"/>
      <c r="L117" s="146"/>
      <c r="M117" s="146"/>
      <c r="N117" s="147"/>
      <c r="Q117" s="46"/>
      <c r="R117" s="48"/>
      <c r="S117" s="49"/>
      <c r="T117" s="50"/>
      <c r="U117" s="51"/>
      <c r="V117" s="55"/>
    </row>
    <row r="118" spans="2:22" s="42" customFormat="1">
      <c r="B118" s="34"/>
      <c r="C118" s="35"/>
      <c r="D118" s="148"/>
      <c r="E118" s="148"/>
      <c r="F118" s="148"/>
      <c r="G118" s="148"/>
      <c r="H118" s="148"/>
      <c r="I118" s="148"/>
      <c r="J118" s="148"/>
      <c r="K118" s="148"/>
      <c r="L118" s="148"/>
      <c r="M118" s="148"/>
      <c r="N118" s="149"/>
      <c r="Q118" s="46"/>
      <c r="R118" s="48"/>
      <c r="S118" s="49"/>
      <c r="T118" s="50"/>
      <c r="U118" s="51"/>
      <c r="V118" s="55"/>
    </row>
    <row r="119" spans="2:22" s="42" customFormat="1">
      <c r="B119" s="34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6"/>
      <c r="Q119" s="46"/>
      <c r="R119" s="48"/>
      <c r="S119" s="49"/>
      <c r="T119" s="50"/>
      <c r="U119" s="51"/>
      <c r="V119" s="55"/>
    </row>
    <row r="120" spans="2:22" s="42" customFormat="1">
      <c r="B120" s="34"/>
      <c r="C120" s="44"/>
      <c r="D120" s="143" t="s">
        <v>14</v>
      </c>
      <c r="E120" s="150"/>
      <c r="F120" s="150"/>
      <c r="G120" s="150"/>
      <c r="H120" s="150"/>
      <c r="I120" s="150"/>
      <c r="J120" s="150"/>
      <c r="K120" s="150"/>
      <c r="L120" s="150"/>
      <c r="M120" s="150"/>
      <c r="N120" s="151"/>
      <c r="Q120" s="46" t="s">
        <v>12</v>
      </c>
      <c r="R120" s="48"/>
      <c r="S120" s="49"/>
      <c r="T120" s="50"/>
      <c r="U120" s="51"/>
      <c r="V120" s="55"/>
    </row>
    <row r="121" spans="2:22" s="42" customFormat="1">
      <c r="B121" s="34"/>
      <c r="C121" s="44"/>
      <c r="D121" s="143" t="s">
        <v>15</v>
      </c>
      <c r="E121" s="150"/>
      <c r="F121" s="150"/>
      <c r="G121" s="150"/>
      <c r="H121" s="150"/>
      <c r="I121" s="150"/>
      <c r="J121" s="150"/>
      <c r="K121" s="150"/>
      <c r="L121" s="150"/>
      <c r="M121" s="150"/>
      <c r="N121" s="151"/>
      <c r="Q121" s="46"/>
      <c r="R121" s="48"/>
      <c r="S121" s="49"/>
      <c r="T121" s="50"/>
      <c r="U121" s="51"/>
      <c r="V121" s="55"/>
    </row>
    <row r="122" spans="2:22" s="42" customFormat="1" ht="15.75" thickBot="1">
      <c r="B122" s="37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141" t="str">
        <f>IF(ABR="risque",S122,"")</f>
        <v/>
      </c>
      <c r="N122" s="142"/>
      <c r="Q122" s="46"/>
      <c r="R122" s="48">
        <f>IF(AND(C120=Q120,C121=Q121),1,0)</f>
        <v>0</v>
      </c>
      <c r="S122" s="49" t="str">
        <f>IF(R122=1,"Bonne réponse","Mauvaise réponse")</f>
        <v>Mauvaise réponse</v>
      </c>
      <c r="T122" s="50"/>
      <c r="U122" s="51"/>
      <c r="V122" s="55"/>
    </row>
    <row r="123" spans="2:22" s="42" customFormat="1" ht="15.75" thickBot="1">
      <c r="B123" s="39" t="s">
        <v>94</v>
      </c>
      <c r="C123" s="33"/>
      <c r="D123" s="146" t="s">
        <v>154</v>
      </c>
      <c r="E123" s="146"/>
      <c r="F123" s="146"/>
      <c r="G123" s="146"/>
      <c r="H123" s="146"/>
      <c r="I123" s="146"/>
      <c r="J123" s="146"/>
      <c r="K123" s="146"/>
      <c r="L123" s="146"/>
      <c r="M123" s="146"/>
      <c r="N123" s="147"/>
      <c r="Q123" s="46"/>
      <c r="R123" s="48"/>
      <c r="S123" s="49"/>
      <c r="T123" s="50"/>
      <c r="U123" s="51"/>
      <c r="V123" s="55"/>
    </row>
    <row r="124" spans="2:22" s="42" customFormat="1">
      <c r="B124" s="34"/>
      <c r="C124" s="35"/>
      <c r="D124" s="148"/>
      <c r="E124" s="148"/>
      <c r="F124" s="148"/>
      <c r="G124" s="148"/>
      <c r="H124" s="148"/>
      <c r="I124" s="148"/>
      <c r="J124" s="148"/>
      <c r="K124" s="148"/>
      <c r="L124" s="148"/>
      <c r="M124" s="148"/>
      <c r="N124" s="149"/>
      <c r="Q124" s="46"/>
      <c r="R124" s="48"/>
      <c r="S124" s="49"/>
      <c r="T124" s="50"/>
      <c r="U124" s="51"/>
      <c r="V124" s="55"/>
    </row>
    <row r="125" spans="2:22" s="42" customFormat="1">
      <c r="B125" s="34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6"/>
      <c r="Q125" s="46"/>
      <c r="R125" s="48"/>
      <c r="S125" s="49"/>
      <c r="T125" s="50"/>
      <c r="U125" s="51"/>
      <c r="V125" s="55"/>
    </row>
    <row r="126" spans="2:22" s="42" customFormat="1">
      <c r="B126" s="34"/>
      <c r="C126" s="44"/>
      <c r="D126" s="143" t="s">
        <v>98</v>
      </c>
      <c r="E126" s="150"/>
      <c r="F126" s="150"/>
      <c r="G126" s="150"/>
      <c r="H126" s="150"/>
      <c r="I126" s="150"/>
      <c r="J126" s="150"/>
      <c r="K126" s="150"/>
      <c r="L126" s="150"/>
      <c r="M126" s="150"/>
      <c r="N126" s="151"/>
      <c r="Q126" s="46"/>
      <c r="R126" s="48"/>
      <c r="S126" s="49"/>
      <c r="T126" s="50"/>
      <c r="U126" s="51"/>
      <c r="V126" s="55"/>
    </row>
    <row r="127" spans="2:22" s="42" customFormat="1">
      <c r="B127" s="34"/>
      <c r="C127" s="44"/>
      <c r="D127" s="143" t="s">
        <v>99</v>
      </c>
      <c r="E127" s="150"/>
      <c r="F127" s="150"/>
      <c r="G127" s="150"/>
      <c r="H127" s="150"/>
      <c r="I127" s="150"/>
      <c r="J127" s="150"/>
      <c r="K127" s="150"/>
      <c r="L127" s="150"/>
      <c r="M127" s="150"/>
      <c r="N127" s="151"/>
      <c r="Q127" s="46" t="s">
        <v>12</v>
      </c>
      <c r="R127" s="48"/>
      <c r="S127" s="49"/>
      <c r="T127" s="50"/>
      <c r="U127" s="51"/>
      <c r="V127" s="55"/>
    </row>
    <row r="128" spans="2:22" s="42" customFormat="1">
      <c r="B128" s="34"/>
      <c r="C128" s="44"/>
      <c r="D128" s="143" t="s">
        <v>100</v>
      </c>
      <c r="E128" s="150"/>
      <c r="F128" s="150"/>
      <c r="G128" s="150"/>
      <c r="H128" s="150"/>
      <c r="I128" s="150"/>
      <c r="J128" s="150"/>
      <c r="K128" s="150"/>
      <c r="L128" s="150"/>
      <c r="M128" s="150"/>
      <c r="N128" s="151"/>
      <c r="Q128" s="46"/>
      <c r="R128" s="48"/>
      <c r="S128" s="49"/>
      <c r="T128" s="50"/>
      <c r="U128" s="51"/>
      <c r="V128" s="55"/>
    </row>
    <row r="129" spans="2:22" s="42" customFormat="1" ht="15.75" thickBot="1">
      <c r="B129" s="37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141" t="str">
        <f>IF(ABR="risque",S129,"")</f>
        <v/>
      </c>
      <c r="N129" s="142"/>
      <c r="Q129" s="46"/>
      <c r="R129" s="48">
        <f>IF(AND(C126=Q126,C127=Q127,C128=Q128),1,0)</f>
        <v>0</v>
      </c>
      <c r="S129" s="49" t="str">
        <f>IF(R129=1,"Bonne réponse","Mauvaise réponse")</f>
        <v>Mauvaise réponse</v>
      </c>
      <c r="T129" s="50"/>
      <c r="U129" s="51"/>
      <c r="V129" s="55"/>
    </row>
    <row r="130" spans="2:22" s="42" customFormat="1" ht="15.75" thickBot="1">
      <c r="B130" s="39" t="s">
        <v>95</v>
      </c>
      <c r="C130" s="33"/>
      <c r="D130" s="146" t="s">
        <v>155</v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7"/>
      <c r="Q130" s="46"/>
      <c r="R130" s="48"/>
      <c r="S130" s="49"/>
      <c r="T130" s="50"/>
      <c r="U130" s="51"/>
      <c r="V130" s="55"/>
    </row>
    <row r="131" spans="2:22" s="42" customFormat="1">
      <c r="B131" s="34"/>
      <c r="C131" s="35"/>
      <c r="D131" s="148"/>
      <c r="E131" s="148"/>
      <c r="F131" s="148"/>
      <c r="G131" s="148"/>
      <c r="H131" s="148"/>
      <c r="I131" s="148"/>
      <c r="J131" s="148"/>
      <c r="K131" s="148"/>
      <c r="L131" s="148"/>
      <c r="M131" s="148"/>
      <c r="N131" s="149"/>
      <c r="Q131" s="46"/>
      <c r="R131" s="48"/>
      <c r="S131" s="49"/>
      <c r="T131" s="50"/>
      <c r="U131" s="51"/>
      <c r="V131" s="55"/>
    </row>
    <row r="132" spans="2:22" s="42" customFormat="1">
      <c r="B132" s="34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6"/>
      <c r="Q132" s="46"/>
      <c r="R132" s="48"/>
      <c r="S132" s="49"/>
      <c r="T132" s="50"/>
      <c r="U132" s="51"/>
      <c r="V132" s="55"/>
    </row>
    <row r="133" spans="2:22" s="42" customFormat="1">
      <c r="B133" s="34"/>
      <c r="C133" s="44"/>
      <c r="D133" s="143" t="s">
        <v>156</v>
      </c>
      <c r="E133" s="150"/>
      <c r="F133" s="150"/>
      <c r="G133" s="150"/>
      <c r="H133" s="150"/>
      <c r="I133" s="150"/>
      <c r="J133" s="150"/>
      <c r="K133" s="150"/>
      <c r="L133" s="150"/>
      <c r="M133" s="150"/>
      <c r="N133" s="151"/>
      <c r="Q133" s="46"/>
      <c r="R133" s="48"/>
      <c r="S133" s="49"/>
      <c r="T133" s="50"/>
      <c r="U133" s="51"/>
      <c r="V133" s="55"/>
    </row>
    <row r="134" spans="2:22" s="42" customFormat="1">
      <c r="B134" s="34"/>
      <c r="C134" s="44"/>
      <c r="D134" s="143" t="s">
        <v>157</v>
      </c>
      <c r="E134" s="150"/>
      <c r="F134" s="150"/>
      <c r="G134" s="150"/>
      <c r="H134" s="150"/>
      <c r="I134" s="150"/>
      <c r="J134" s="150"/>
      <c r="K134" s="150"/>
      <c r="L134" s="150"/>
      <c r="M134" s="150"/>
      <c r="N134" s="151"/>
      <c r="Q134" s="46"/>
      <c r="R134" s="48"/>
      <c r="S134" s="49"/>
      <c r="T134" s="50"/>
      <c r="U134" s="51"/>
      <c r="V134" s="55"/>
    </row>
    <row r="135" spans="2:22" s="42" customFormat="1">
      <c r="B135" s="34"/>
      <c r="C135" s="44"/>
      <c r="D135" s="76" t="s">
        <v>158</v>
      </c>
      <c r="E135" s="77"/>
      <c r="F135" s="77"/>
      <c r="G135" s="77"/>
      <c r="H135" s="77"/>
      <c r="I135" s="77"/>
      <c r="J135" s="77"/>
      <c r="K135" s="77"/>
      <c r="L135" s="77"/>
      <c r="M135" s="77"/>
      <c r="N135" s="78"/>
      <c r="Q135" s="46" t="s">
        <v>12</v>
      </c>
      <c r="R135" s="48"/>
      <c r="S135" s="49"/>
      <c r="T135" s="50"/>
      <c r="U135" s="51"/>
      <c r="V135" s="55"/>
    </row>
    <row r="136" spans="2:22" s="42" customFormat="1">
      <c r="B136" s="34"/>
      <c r="C136" s="44"/>
      <c r="D136" s="76" t="s">
        <v>159</v>
      </c>
      <c r="E136" s="77"/>
      <c r="F136" s="77"/>
      <c r="G136" s="77"/>
      <c r="H136" s="77"/>
      <c r="I136" s="77"/>
      <c r="J136" s="77"/>
      <c r="K136" s="77"/>
      <c r="L136" s="77"/>
      <c r="M136" s="77"/>
      <c r="N136" s="78"/>
      <c r="Q136" s="46" t="s">
        <v>12</v>
      </c>
      <c r="R136" s="48"/>
      <c r="S136" s="49"/>
      <c r="T136" s="50"/>
      <c r="U136" s="51"/>
      <c r="V136" s="55"/>
    </row>
    <row r="137" spans="2:22" s="42" customFormat="1">
      <c r="B137" s="34"/>
      <c r="C137" s="44"/>
      <c r="D137" s="143" t="s">
        <v>160</v>
      </c>
      <c r="E137" s="150"/>
      <c r="F137" s="150"/>
      <c r="G137" s="150"/>
      <c r="H137" s="150"/>
      <c r="I137" s="150"/>
      <c r="J137" s="150"/>
      <c r="K137" s="150"/>
      <c r="L137" s="150"/>
      <c r="M137" s="150"/>
      <c r="N137" s="151"/>
      <c r="Q137" s="46" t="s">
        <v>12</v>
      </c>
      <c r="R137" s="48"/>
      <c r="S137" s="49"/>
      <c r="T137" s="50"/>
      <c r="U137" s="51"/>
      <c r="V137" s="55"/>
    </row>
    <row r="138" spans="2:22" s="42" customFormat="1" ht="15.75" thickBot="1">
      <c r="B138" s="37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141" t="str">
        <f>IF(ABR="risque",S138,"")</f>
        <v/>
      </c>
      <c r="N138" s="142"/>
      <c r="Q138" s="46"/>
      <c r="R138" s="48">
        <f>IF(AND(C133=Q133,C134=Q134,C135=Q135,C136=Q136,C137=Q137),1,0)</f>
        <v>0</v>
      </c>
      <c r="S138" s="49" t="str">
        <f>IF(R138=1,"Bonne réponse","Mauvaise réponse")</f>
        <v>Mauvaise réponse</v>
      </c>
      <c r="T138" s="50"/>
      <c r="U138" s="51"/>
      <c r="V138" s="55"/>
    </row>
    <row r="139" spans="2:22" s="42" customFormat="1" ht="15.75" thickBot="1">
      <c r="B139" s="39" t="s">
        <v>96</v>
      </c>
      <c r="C139" s="33"/>
      <c r="D139" s="146" t="s">
        <v>161</v>
      </c>
      <c r="E139" s="146"/>
      <c r="F139" s="146"/>
      <c r="G139" s="146"/>
      <c r="H139" s="146"/>
      <c r="I139" s="146"/>
      <c r="J139" s="146"/>
      <c r="K139" s="146"/>
      <c r="L139" s="146"/>
      <c r="M139" s="146"/>
      <c r="N139" s="147"/>
      <c r="Q139" s="46"/>
      <c r="R139" s="48"/>
      <c r="S139" s="49"/>
      <c r="T139" s="50"/>
      <c r="U139" s="51"/>
      <c r="V139" s="55"/>
    </row>
    <row r="140" spans="2:22" s="42" customFormat="1">
      <c r="B140" s="34"/>
      <c r="C140" s="35"/>
      <c r="D140" s="148"/>
      <c r="E140" s="148"/>
      <c r="F140" s="148"/>
      <c r="G140" s="148"/>
      <c r="H140" s="148"/>
      <c r="I140" s="148"/>
      <c r="J140" s="148"/>
      <c r="K140" s="148"/>
      <c r="L140" s="148"/>
      <c r="M140" s="148"/>
      <c r="N140" s="149"/>
      <c r="Q140" s="46"/>
      <c r="R140" s="48"/>
      <c r="S140" s="49"/>
      <c r="T140" s="50"/>
      <c r="U140" s="51"/>
      <c r="V140" s="55"/>
    </row>
    <row r="141" spans="2:22" s="42" customFormat="1">
      <c r="B141" s="34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6"/>
      <c r="Q141" s="46"/>
      <c r="R141" s="48"/>
      <c r="S141" s="49"/>
      <c r="T141" s="50"/>
      <c r="U141" s="51"/>
      <c r="V141" s="55"/>
    </row>
    <row r="142" spans="2:22" s="42" customFormat="1">
      <c r="B142" s="34"/>
      <c r="C142" s="44"/>
      <c r="D142" s="143" t="s">
        <v>162</v>
      </c>
      <c r="E142" s="150"/>
      <c r="F142" s="150"/>
      <c r="G142" s="150"/>
      <c r="H142" s="150"/>
      <c r="I142" s="150"/>
      <c r="J142" s="150"/>
      <c r="K142" s="150"/>
      <c r="L142" s="150"/>
      <c r="M142" s="150"/>
      <c r="N142" s="151"/>
      <c r="Q142" s="46" t="s">
        <v>12</v>
      </c>
      <c r="R142" s="48"/>
      <c r="S142" s="49"/>
      <c r="T142" s="50"/>
      <c r="U142" s="51"/>
      <c r="V142" s="55"/>
    </row>
    <row r="143" spans="2:22" s="42" customFormat="1">
      <c r="B143" s="34"/>
      <c r="C143" s="44"/>
      <c r="D143" s="143" t="s">
        <v>163</v>
      </c>
      <c r="E143" s="150"/>
      <c r="F143" s="150"/>
      <c r="G143" s="150"/>
      <c r="H143" s="150"/>
      <c r="I143" s="150"/>
      <c r="J143" s="150"/>
      <c r="K143" s="150"/>
      <c r="L143" s="150"/>
      <c r="M143" s="150"/>
      <c r="N143" s="151"/>
      <c r="Q143" s="46" t="s">
        <v>12</v>
      </c>
      <c r="R143" s="48"/>
      <c r="S143" s="49"/>
      <c r="T143" s="50"/>
      <c r="U143" s="51"/>
      <c r="V143" s="55"/>
    </row>
    <row r="144" spans="2:22" s="42" customFormat="1">
      <c r="B144" s="34"/>
      <c r="C144" s="44"/>
      <c r="D144" s="76" t="s">
        <v>164</v>
      </c>
      <c r="E144" s="77"/>
      <c r="F144" s="77"/>
      <c r="G144" s="77"/>
      <c r="H144" s="77"/>
      <c r="I144" s="77"/>
      <c r="J144" s="77"/>
      <c r="K144" s="77"/>
      <c r="L144" s="77"/>
      <c r="M144" s="77"/>
      <c r="N144" s="78"/>
      <c r="Q144" s="46" t="s">
        <v>12</v>
      </c>
      <c r="R144" s="48"/>
      <c r="S144" s="49"/>
      <c r="T144" s="50"/>
      <c r="U144" s="51"/>
      <c r="V144" s="55"/>
    </row>
    <row r="145" spans="2:57" s="42" customFormat="1">
      <c r="B145" s="34"/>
      <c r="C145" s="44"/>
      <c r="D145" s="143" t="s">
        <v>165</v>
      </c>
      <c r="E145" s="150"/>
      <c r="F145" s="150"/>
      <c r="G145" s="150"/>
      <c r="H145" s="150"/>
      <c r="I145" s="150"/>
      <c r="J145" s="150"/>
      <c r="K145" s="150"/>
      <c r="L145" s="150"/>
      <c r="M145" s="150"/>
      <c r="N145" s="151"/>
      <c r="Q145" s="46" t="s">
        <v>12</v>
      </c>
      <c r="R145" s="48"/>
      <c r="S145" s="49"/>
      <c r="T145" s="50"/>
      <c r="U145" s="51"/>
      <c r="V145" s="55"/>
    </row>
    <row r="146" spans="2:57" s="42" customFormat="1" ht="15.75" thickBot="1">
      <c r="B146" s="37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141" t="str">
        <f>IF(ABR="risque",S146,"")</f>
        <v/>
      </c>
      <c r="N146" s="142"/>
      <c r="Q146" s="46"/>
      <c r="R146" s="48">
        <f>IF(AND(C142=Q142,C143=Q143,C144=Q144,C145=Q145),1,0)</f>
        <v>0</v>
      </c>
      <c r="S146" s="49" t="str">
        <f>IF(R146=1,"Bonne réponse","Mauvaise réponse")</f>
        <v>Mauvaise réponse</v>
      </c>
      <c r="T146" s="50"/>
      <c r="U146" s="51"/>
      <c r="V146" s="55"/>
    </row>
    <row r="147" spans="2:57" s="42" customFormat="1" ht="15.75" thickBot="1">
      <c r="B147" s="39" t="s">
        <v>97</v>
      </c>
      <c r="C147" s="33"/>
      <c r="D147" s="146" t="s">
        <v>166</v>
      </c>
      <c r="E147" s="146"/>
      <c r="F147" s="146"/>
      <c r="G147" s="146"/>
      <c r="H147" s="146"/>
      <c r="I147" s="146"/>
      <c r="J147" s="146"/>
      <c r="K147" s="146"/>
      <c r="L147" s="146"/>
      <c r="M147" s="146"/>
      <c r="N147" s="147"/>
      <c r="Q147" s="46"/>
      <c r="R147" s="48"/>
      <c r="S147" s="49"/>
      <c r="T147" s="50"/>
      <c r="U147" s="51"/>
      <c r="V147" s="55"/>
    </row>
    <row r="148" spans="2:57" s="42" customFormat="1">
      <c r="B148" s="34"/>
      <c r="C148" s="35"/>
      <c r="D148" s="148"/>
      <c r="E148" s="148"/>
      <c r="F148" s="148"/>
      <c r="G148" s="148"/>
      <c r="H148" s="148"/>
      <c r="I148" s="148"/>
      <c r="J148" s="148"/>
      <c r="K148" s="148"/>
      <c r="L148" s="148"/>
      <c r="M148" s="148"/>
      <c r="N148" s="149"/>
      <c r="Q148" s="46"/>
      <c r="R148" s="48"/>
      <c r="S148" s="49"/>
      <c r="T148" s="50"/>
      <c r="U148" s="51"/>
      <c r="V148" s="55"/>
    </row>
    <row r="149" spans="2:57" s="42" customFormat="1">
      <c r="B149" s="34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6"/>
      <c r="Q149" s="46"/>
      <c r="R149" s="48"/>
      <c r="S149" s="49"/>
      <c r="T149" s="50"/>
      <c r="U149" s="51"/>
      <c r="V149" s="55"/>
    </row>
    <row r="150" spans="2:57" s="42" customFormat="1">
      <c r="B150" s="34"/>
      <c r="C150" s="44"/>
      <c r="D150" s="143" t="s">
        <v>167</v>
      </c>
      <c r="E150" s="150"/>
      <c r="F150" s="150"/>
      <c r="G150" s="150"/>
      <c r="H150" s="150"/>
      <c r="I150" s="150"/>
      <c r="J150" s="150"/>
      <c r="K150" s="150"/>
      <c r="L150" s="150"/>
      <c r="M150" s="150"/>
      <c r="N150" s="151"/>
      <c r="Q150" s="46" t="s">
        <v>12</v>
      </c>
      <c r="R150" s="48"/>
      <c r="S150" s="49"/>
      <c r="T150" s="50"/>
      <c r="U150" s="51"/>
      <c r="V150" s="55"/>
    </row>
    <row r="151" spans="2:57" s="42" customFormat="1">
      <c r="B151" s="34"/>
      <c r="C151" s="44"/>
      <c r="D151" s="143" t="s">
        <v>168</v>
      </c>
      <c r="E151" s="144"/>
      <c r="F151" s="144"/>
      <c r="G151" s="144"/>
      <c r="H151" s="144"/>
      <c r="I151" s="144"/>
      <c r="J151" s="144"/>
      <c r="K151" s="144"/>
      <c r="L151" s="144"/>
      <c r="M151" s="144"/>
      <c r="N151" s="145"/>
      <c r="Q151" s="46"/>
      <c r="R151" s="48"/>
      <c r="S151" s="49"/>
      <c r="T151" s="50"/>
      <c r="U151" s="51"/>
      <c r="V151" s="55"/>
    </row>
    <row r="152" spans="2:57" s="42" customFormat="1">
      <c r="B152" s="34"/>
      <c r="C152" s="44"/>
      <c r="D152" s="143" t="s">
        <v>169</v>
      </c>
      <c r="E152" s="150"/>
      <c r="F152" s="150"/>
      <c r="G152" s="150"/>
      <c r="H152" s="150"/>
      <c r="I152" s="150"/>
      <c r="J152" s="150"/>
      <c r="K152" s="150"/>
      <c r="L152" s="150"/>
      <c r="M152" s="150"/>
      <c r="N152" s="151"/>
      <c r="Q152" s="46"/>
      <c r="R152" s="48"/>
      <c r="S152" s="49"/>
      <c r="T152" s="50"/>
      <c r="U152" s="51"/>
      <c r="V152" s="55"/>
    </row>
    <row r="153" spans="2:57" s="42" customFormat="1" ht="15.75" thickBot="1">
      <c r="B153" s="37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141" t="str">
        <f>IF(ABR="risque",S153,"")</f>
        <v/>
      </c>
      <c r="N153" s="142"/>
      <c r="Q153" s="46"/>
      <c r="R153" s="48">
        <f>IF(AND(C150=Q150,C151=Q151,C152=Q152),1,0)</f>
        <v>0</v>
      </c>
      <c r="S153" s="49" t="str">
        <f>IF(R153=1,"Bonne réponse","Mauvaise réponse")</f>
        <v>Mauvaise réponse</v>
      </c>
      <c r="T153" s="50">
        <f>COUNTA(M117:M153)</f>
        <v>5</v>
      </c>
      <c r="U153" s="51">
        <f>SUM(R116:R153)/NBQ_4</f>
        <v>0</v>
      </c>
      <c r="V153" s="55">
        <v>1</v>
      </c>
    </row>
    <row r="155" spans="2:57" s="42" customFormat="1" ht="15.75" thickBot="1">
      <c r="Q155" s="45"/>
      <c r="R155" s="47"/>
      <c r="W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</row>
    <row r="156" spans="2:57" s="42" customFormat="1" ht="15.75" thickBot="1">
      <c r="P156" s="66" t="s">
        <v>34</v>
      </c>
      <c r="Q156" s="61"/>
      <c r="R156" s="62">
        <f>SUM(R7:R153)</f>
        <v>0</v>
      </c>
      <c r="S156" s="58"/>
      <c r="T156" s="63">
        <f>SUM(T7:T153)</f>
        <v>20</v>
      </c>
      <c r="U156" s="64">
        <f>NBBR/NBQT</f>
        <v>0</v>
      </c>
      <c r="V156" s="65">
        <f>PRODUCT(V7:V153)</f>
        <v>0</v>
      </c>
      <c r="W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</row>
    <row r="173" spans="2:57" s="42" customFormat="1" ht="15.75" thickBot="1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45"/>
      <c r="R173" s="47"/>
      <c r="S173" s="2"/>
      <c r="T173" s="2"/>
      <c r="U173" s="2"/>
      <c r="V173" s="2"/>
      <c r="W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</row>
    <row r="174" spans="2:57" s="42" customFormat="1" ht="15.75" customHeight="1" thickBot="1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45"/>
      <c r="R174" s="47"/>
      <c r="S174" s="2"/>
      <c r="T174" s="2"/>
      <c r="U174" s="2"/>
      <c r="V174" s="2"/>
      <c r="W174" s="2"/>
      <c r="Y174" s="181" t="s">
        <v>37</v>
      </c>
      <c r="Z174" s="182"/>
      <c r="AA174" s="182"/>
      <c r="AB174" s="183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</row>
    <row r="175" spans="2:57" s="42" customFormat="1" ht="15.75" thickBot="1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45"/>
      <c r="R175" s="47"/>
      <c r="S175" s="2"/>
      <c r="T175" s="2"/>
      <c r="U175" s="2"/>
      <c r="V175" s="2"/>
      <c r="W175" s="2"/>
      <c r="Y175" s="66" t="s">
        <v>39</v>
      </c>
      <c r="Z175" s="66" t="s">
        <v>38</v>
      </c>
      <c r="AA175" s="66" t="s">
        <v>35</v>
      </c>
      <c r="AB175" s="66" t="s">
        <v>36</v>
      </c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</row>
    <row r="176" spans="2:57" s="42" customFormat="1" ht="15.75" thickBot="1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45"/>
      <c r="R176" s="47"/>
      <c r="S176" s="2"/>
      <c r="T176" s="2"/>
      <c r="U176" s="2"/>
      <c r="V176" s="2"/>
      <c r="W176" s="2"/>
      <c r="Y176" s="67" t="s">
        <v>40</v>
      </c>
      <c r="Z176" s="68" t="s">
        <v>178</v>
      </c>
      <c r="AA176" s="67" t="s">
        <v>41</v>
      </c>
      <c r="AB176" s="68" t="s">
        <v>170</v>
      </c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</row>
    <row r="177" spans="2:57" s="42" customFormat="1" ht="15.75" thickBot="1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45"/>
      <c r="R177" s="47"/>
      <c r="S177" s="2"/>
      <c r="T177" s="2"/>
      <c r="U177" s="2"/>
      <c r="V177" s="2"/>
      <c r="W177" s="2"/>
      <c r="Y177" s="67" t="s">
        <v>40</v>
      </c>
      <c r="Z177" s="68" t="s">
        <v>179</v>
      </c>
      <c r="AA177" s="67" t="s">
        <v>42</v>
      </c>
      <c r="AB177" s="68" t="s">
        <v>171</v>
      </c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</row>
    <row r="178" spans="2:57" s="42" customFormat="1" ht="15.75" thickBot="1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45"/>
      <c r="R178" s="47"/>
      <c r="S178" s="2"/>
      <c r="T178" s="2"/>
      <c r="U178" s="2"/>
      <c r="V178" s="2"/>
      <c r="W178" s="2"/>
      <c r="Y178" s="67" t="s">
        <v>40</v>
      </c>
      <c r="Z178" s="68" t="s">
        <v>69</v>
      </c>
      <c r="AA178" s="68" t="s">
        <v>73</v>
      </c>
      <c r="AB178" s="68" t="s">
        <v>77</v>
      </c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</row>
    <row r="179" spans="2:57" s="42" customFormat="1" ht="15.75" thickBot="1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45"/>
      <c r="R179" s="47"/>
      <c r="S179" s="2"/>
      <c r="T179" s="2"/>
      <c r="U179" s="2"/>
      <c r="V179" s="2"/>
      <c r="W179" s="2"/>
      <c r="Y179" s="67" t="s">
        <v>40</v>
      </c>
      <c r="Z179" s="68" t="s">
        <v>70</v>
      </c>
      <c r="AA179" s="68" t="s">
        <v>74</v>
      </c>
      <c r="AB179" s="68" t="s">
        <v>78</v>
      </c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</row>
    <row r="180" spans="2:57" s="42" customFormat="1" ht="15.75" thickBot="1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45"/>
      <c r="R180" s="47"/>
      <c r="S180" s="2"/>
      <c r="T180" s="2"/>
      <c r="U180" s="2"/>
      <c r="V180" s="2"/>
      <c r="W180" s="2"/>
      <c r="Y180" s="67" t="s">
        <v>40</v>
      </c>
      <c r="Z180" s="68" t="s">
        <v>71</v>
      </c>
      <c r="AA180" s="68" t="s">
        <v>75</v>
      </c>
      <c r="AB180" s="68" t="s">
        <v>79</v>
      </c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</row>
    <row r="181" spans="2:57" s="42" customFormat="1" ht="15.75" thickBot="1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45"/>
      <c r="R181" s="47"/>
      <c r="S181" s="2"/>
      <c r="T181" s="2"/>
      <c r="U181" s="2"/>
      <c r="V181" s="2"/>
      <c r="W181" s="2"/>
      <c r="Y181" s="67" t="s">
        <v>40</v>
      </c>
      <c r="Z181" s="68" t="s">
        <v>72</v>
      </c>
      <c r="AA181" s="68" t="s">
        <v>76</v>
      </c>
      <c r="AB181" s="68" t="s">
        <v>80</v>
      </c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</row>
    <row r="182" spans="2:57" s="42" customFormat="1" ht="15.75" thickBot="1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45"/>
      <c r="R182" s="47"/>
      <c r="S182" s="2"/>
      <c r="T182" s="2"/>
      <c r="U182" s="2"/>
      <c r="V182" s="2"/>
      <c r="W182" s="2"/>
      <c r="Y182" s="68" t="s">
        <v>176</v>
      </c>
      <c r="Z182" s="68" t="s">
        <v>180</v>
      </c>
      <c r="AA182" s="67" t="s">
        <v>43</v>
      </c>
      <c r="AB182" s="67" t="s">
        <v>44</v>
      </c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</row>
    <row r="183" spans="2:57" s="42" customFormat="1" ht="15.75" thickBot="1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45"/>
      <c r="R183" s="47"/>
      <c r="S183" s="2"/>
      <c r="T183" s="2"/>
      <c r="U183" s="2"/>
      <c r="V183" s="2"/>
      <c r="W183" s="2"/>
      <c r="Y183" s="68" t="s">
        <v>176</v>
      </c>
      <c r="Z183" s="68" t="s">
        <v>181</v>
      </c>
      <c r="AA183" s="67" t="s">
        <v>45</v>
      </c>
      <c r="AB183" s="67" t="s">
        <v>50</v>
      </c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</row>
    <row r="184" spans="2:57" s="42" customFormat="1" ht="15.75" thickBot="1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45"/>
      <c r="R184" s="47"/>
      <c r="S184" s="2"/>
      <c r="T184" s="2"/>
      <c r="U184" s="2"/>
      <c r="V184" s="2"/>
      <c r="W184" s="2"/>
      <c r="Y184" s="68" t="s">
        <v>176</v>
      </c>
      <c r="Z184" s="68" t="s">
        <v>182</v>
      </c>
      <c r="AA184" s="67" t="s">
        <v>46</v>
      </c>
      <c r="AB184" s="67" t="s">
        <v>51</v>
      </c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</row>
    <row r="185" spans="2:57" s="42" customFormat="1" ht="15.75" thickBot="1">
      <c r="Q185" s="45"/>
      <c r="R185" s="47"/>
      <c r="Y185" s="68" t="s">
        <v>176</v>
      </c>
      <c r="Z185" s="68" t="s">
        <v>110</v>
      </c>
      <c r="AA185" s="68" t="s">
        <v>108</v>
      </c>
      <c r="AB185" s="68" t="s">
        <v>109</v>
      </c>
    </row>
    <row r="186" spans="2:57" s="42" customFormat="1" ht="15.75" thickBot="1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45"/>
      <c r="R186" s="47"/>
      <c r="S186" s="2"/>
      <c r="T186" s="2"/>
      <c r="U186" s="2"/>
      <c r="V186" s="2"/>
      <c r="W186" s="2"/>
      <c r="Y186" s="68" t="s">
        <v>176</v>
      </c>
      <c r="Z186" s="68" t="s">
        <v>112</v>
      </c>
      <c r="AA186" s="67" t="s">
        <v>47</v>
      </c>
      <c r="AB186" s="68" t="s">
        <v>172</v>
      </c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</row>
    <row r="187" spans="2:57" s="42" customFormat="1" ht="15.75" thickBot="1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45"/>
      <c r="R187" s="47"/>
      <c r="S187" s="2"/>
      <c r="T187" s="2"/>
      <c r="U187" s="2"/>
      <c r="V187" s="2"/>
      <c r="W187" s="2"/>
      <c r="Y187" s="68" t="s">
        <v>176</v>
      </c>
      <c r="Z187" s="68" t="s">
        <v>113</v>
      </c>
      <c r="AA187" s="67" t="s">
        <v>48</v>
      </c>
      <c r="AB187" s="68" t="s">
        <v>173</v>
      </c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</row>
    <row r="188" spans="2:57" s="42" customFormat="1" ht="15.75" thickBot="1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45"/>
      <c r="R188" s="47"/>
      <c r="S188" s="2"/>
      <c r="T188" s="2"/>
      <c r="U188" s="2"/>
      <c r="V188" s="2"/>
      <c r="W188" s="2"/>
      <c r="Y188" s="68" t="s">
        <v>176</v>
      </c>
      <c r="Z188" s="68" t="s">
        <v>183</v>
      </c>
      <c r="AA188" s="67" t="s">
        <v>49</v>
      </c>
      <c r="AB188" s="68" t="s">
        <v>62</v>
      </c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</row>
    <row r="189" spans="2:57" s="42" customFormat="1" ht="15.75" thickBot="1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45"/>
      <c r="R189" s="47"/>
      <c r="S189" s="2"/>
      <c r="T189" s="2"/>
      <c r="U189" s="2"/>
      <c r="V189" s="2"/>
      <c r="W189" s="2"/>
      <c r="Y189" s="68" t="s">
        <v>176</v>
      </c>
      <c r="Z189" s="68" t="s">
        <v>184</v>
      </c>
      <c r="AA189" s="67" t="s">
        <v>52</v>
      </c>
      <c r="AB189" s="68" t="s">
        <v>63</v>
      </c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</row>
    <row r="190" spans="2:57" s="42" customFormat="1" ht="15.75" thickBot="1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45"/>
      <c r="R190" s="47"/>
      <c r="S190" s="2"/>
      <c r="T190" s="2"/>
      <c r="U190" s="2"/>
      <c r="V190" s="2"/>
      <c r="W190" s="2"/>
      <c r="Y190" s="68" t="s">
        <v>176</v>
      </c>
      <c r="Z190" s="68" t="s">
        <v>185</v>
      </c>
      <c r="AA190" s="67" t="s">
        <v>53</v>
      </c>
      <c r="AB190" s="68" t="s">
        <v>64</v>
      </c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</row>
    <row r="191" spans="2:57" s="42" customFormat="1" ht="15.75" thickBot="1">
      <c r="Q191" s="45"/>
      <c r="R191" s="47"/>
      <c r="Y191" s="68" t="s">
        <v>176</v>
      </c>
      <c r="Z191" s="68" t="s">
        <v>111</v>
      </c>
      <c r="AA191" s="68" t="s">
        <v>106</v>
      </c>
      <c r="AB191" s="68" t="s">
        <v>107</v>
      </c>
    </row>
    <row r="192" spans="2:57" s="42" customFormat="1" ht="15.75" thickBot="1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45"/>
      <c r="R192" s="47"/>
      <c r="S192" s="2"/>
      <c r="T192" s="2"/>
      <c r="U192" s="2"/>
      <c r="V192" s="2"/>
      <c r="W192" s="2"/>
      <c r="Y192" s="68" t="s">
        <v>176</v>
      </c>
      <c r="Z192" s="68" t="s">
        <v>114</v>
      </c>
      <c r="AA192" s="67" t="s">
        <v>54</v>
      </c>
      <c r="AB192" s="68" t="s">
        <v>174</v>
      </c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</row>
    <row r="193" spans="17:28" ht="15.75" thickBot="1">
      <c r="Y193" s="68" t="s">
        <v>176</v>
      </c>
      <c r="Z193" s="68" t="s">
        <v>186</v>
      </c>
      <c r="AA193" s="67" t="s">
        <v>55</v>
      </c>
      <c r="AB193" s="67" t="s">
        <v>56</v>
      </c>
    </row>
    <row r="194" spans="17:28" ht="15.75" thickBot="1">
      <c r="Y194" s="68" t="s">
        <v>176</v>
      </c>
      <c r="Z194" s="68" t="s">
        <v>187</v>
      </c>
      <c r="AA194" s="67" t="s">
        <v>57</v>
      </c>
      <c r="AB194" s="67" t="s">
        <v>59</v>
      </c>
    </row>
    <row r="195" spans="17:28" ht="15.75" thickBot="1">
      <c r="Y195" s="68" t="s">
        <v>176</v>
      </c>
      <c r="Z195" s="68" t="s">
        <v>188</v>
      </c>
      <c r="AA195" s="67" t="s">
        <v>58</v>
      </c>
      <c r="AB195" s="67" t="s">
        <v>60</v>
      </c>
    </row>
    <row r="196" spans="17:28" s="42" customFormat="1" ht="15.75" thickBot="1">
      <c r="Q196" s="45"/>
      <c r="R196" s="47"/>
      <c r="Y196" s="68" t="s">
        <v>176</v>
      </c>
      <c r="Z196" s="68" t="s">
        <v>105</v>
      </c>
      <c r="AA196" s="68" t="s">
        <v>103</v>
      </c>
      <c r="AB196" s="68" t="s">
        <v>104</v>
      </c>
    </row>
    <row r="197" spans="17:28" ht="15.75" thickBot="1">
      <c r="Y197" s="68" t="s">
        <v>176</v>
      </c>
      <c r="Z197" s="68" t="s">
        <v>115</v>
      </c>
      <c r="AA197" s="67" t="s">
        <v>61</v>
      </c>
      <c r="AB197" s="68" t="s">
        <v>175</v>
      </c>
    </row>
  </sheetData>
  <sheetProtection password="C017" sheet="1" objects="1" scenarios="1"/>
  <mergeCells count="102">
    <mergeCell ref="Y174:AB174"/>
    <mergeCell ref="D63:N63"/>
    <mergeCell ref="M53:N53"/>
    <mergeCell ref="M59:N59"/>
    <mergeCell ref="M65:N65"/>
    <mergeCell ref="D64:N64"/>
    <mergeCell ref="D60:N61"/>
    <mergeCell ref="D66:N67"/>
    <mergeCell ref="D73:N74"/>
    <mergeCell ref="D76:N76"/>
    <mergeCell ref="D77:N77"/>
    <mergeCell ref="M72:N72"/>
    <mergeCell ref="D102:N103"/>
    <mergeCell ref="D96:N97"/>
    <mergeCell ref="D112:N112"/>
    <mergeCell ref="D85:N85"/>
    <mergeCell ref="D86:N86"/>
    <mergeCell ref="D78:N78"/>
    <mergeCell ref="D99:N99"/>
    <mergeCell ref="D100:N100"/>
    <mergeCell ref="M101:N101"/>
    <mergeCell ref="D54:N55"/>
    <mergeCell ref="D57:N57"/>
    <mergeCell ref="B115:N116"/>
    <mergeCell ref="B2:N4"/>
    <mergeCell ref="B6:N7"/>
    <mergeCell ref="D8:N9"/>
    <mergeCell ref="D11:N11"/>
    <mergeCell ref="D14:N14"/>
    <mergeCell ref="D48:N49"/>
    <mergeCell ref="D51:N51"/>
    <mergeCell ref="D33:N33"/>
    <mergeCell ref="D34:N34"/>
    <mergeCell ref="D36:N36"/>
    <mergeCell ref="B38:N39"/>
    <mergeCell ref="D22:N22"/>
    <mergeCell ref="D24:N25"/>
    <mergeCell ref="D27:N27"/>
    <mergeCell ref="D30:N32"/>
    <mergeCell ref="V1:V2"/>
    <mergeCell ref="Q1:Q4"/>
    <mergeCell ref="R1:R4"/>
    <mergeCell ref="S1:S4"/>
    <mergeCell ref="T1:T4"/>
    <mergeCell ref="U1:U4"/>
    <mergeCell ref="D105:N105"/>
    <mergeCell ref="M87:N87"/>
    <mergeCell ref="M15:N15"/>
    <mergeCell ref="M23:N23"/>
    <mergeCell ref="M29:N29"/>
    <mergeCell ref="M37:N37"/>
    <mergeCell ref="M47:N47"/>
    <mergeCell ref="D40:N41"/>
    <mergeCell ref="D43:N43"/>
    <mergeCell ref="D44:N44"/>
    <mergeCell ref="D46:N46"/>
    <mergeCell ref="D16:N17"/>
    <mergeCell ref="D19:N19"/>
    <mergeCell ref="D88:N89"/>
    <mergeCell ref="D91:N91"/>
    <mergeCell ref="D92:N92"/>
    <mergeCell ref="D94:N94"/>
    <mergeCell ref="M95:N95"/>
    <mergeCell ref="D117:N118"/>
    <mergeCell ref="D120:N120"/>
    <mergeCell ref="D121:N121"/>
    <mergeCell ref="D52:N52"/>
    <mergeCell ref="D28:N28"/>
    <mergeCell ref="D58:N58"/>
    <mergeCell ref="M107:N107"/>
    <mergeCell ref="M114:N114"/>
    <mergeCell ref="D111:N111"/>
    <mergeCell ref="D113:N113"/>
    <mergeCell ref="D106:N106"/>
    <mergeCell ref="D108:N109"/>
    <mergeCell ref="M79:N79"/>
    <mergeCell ref="D69:N69"/>
    <mergeCell ref="D70:N70"/>
    <mergeCell ref="D71:N71"/>
    <mergeCell ref="B80:N81"/>
    <mergeCell ref="D82:N83"/>
    <mergeCell ref="M129:N129"/>
    <mergeCell ref="D130:N131"/>
    <mergeCell ref="D133:N133"/>
    <mergeCell ref="D134:N134"/>
    <mergeCell ref="D137:N137"/>
    <mergeCell ref="M122:N122"/>
    <mergeCell ref="D123:N124"/>
    <mergeCell ref="D126:N126"/>
    <mergeCell ref="D127:N127"/>
    <mergeCell ref="D128:N128"/>
    <mergeCell ref="M153:N153"/>
    <mergeCell ref="D151:N151"/>
    <mergeCell ref="M146:N146"/>
    <mergeCell ref="D147:N148"/>
    <mergeCell ref="D150:N150"/>
    <mergeCell ref="D152:N152"/>
    <mergeCell ref="M138:N138"/>
    <mergeCell ref="D139:N140"/>
    <mergeCell ref="D142:N142"/>
    <mergeCell ref="D143:N143"/>
    <mergeCell ref="D145:N145"/>
  </mergeCells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B1:BJ379"/>
  <sheetViews>
    <sheetView showGridLines="0" showRowColHeaders="0" workbookViewId="0">
      <selection activeCell="A8" sqref="A8"/>
    </sheetView>
  </sheetViews>
  <sheetFormatPr baseColWidth="10" defaultRowHeight="15"/>
  <cols>
    <col min="1" max="1" width="14.42578125" style="42" customWidth="1"/>
    <col min="2" max="3" width="11.42578125" style="42"/>
    <col min="4" max="4" width="9.140625" style="42" customWidth="1"/>
    <col min="5" max="5" width="11.42578125" style="42"/>
    <col min="6" max="6" width="17.28515625" style="42" customWidth="1"/>
    <col min="7" max="7" width="11.42578125" style="42"/>
    <col min="8" max="8" width="11.28515625" style="42" customWidth="1"/>
    <col min="9" max="9" width="16.28515625" style="42" customWidth="1"/>
    <col min="10" max="10" width="11.42578125" style="42"/>
    <col min="11" max="11" width="8.85546875" style="42" customWidth="1"/>
    <col min="12" max="12" width="15.42578125" style="42" customWidth="1"/>
    <col min="13" max="13" width="1.42578125" style="42" customWidth="1"/>
    <col min="14" max="14" width="21.28515625" style="42" customWidth="1"/>
    <col min="15" max="15" width="6.28515625" style="42" customWidth="1"/>
    <col min="16" max="59" width="11.42578125" style="42"/>
    <col min="60" max="60" width="45.85546875" style="42" customWidth="1"/>
    <col min="61" max="16384" width="11.42578125" style="42"/>
  </cols>
  <sheetData>
    <row r="1" spans="2:15" ht="4.5" customHeight="1" thickBot="1"/>
    <row r="2" spans="2:15" ht="15.75" thickBot="1">
      <c r="B2" s="72" t="s">
        <v>1</v>
      </c>
      <c r="C2" s="184">
        <f>NOM</f>
        <v>0</v>
      </c>
      <c r="D2" s="189"/>
      <c r="E2" s="185"/>
      <c r="F2" s="72" t="s">
        <v>2</v>
      </c>
      <c r="G2" s="184">
        <f>PRENOM</f>
        <v>0</v>
      </c>
      <c r="H2" s="189"/>
      <c r="I2" s="189"/>
      <c r="J2" s="184" t="s">
        <v>65</v>
      </c>
      <c r="K2" s="185"/>
      <c r="L2" s="74">
        <f>DATE_NAISSANCE</f>
        <v>0</v>
      </c>
      <c r="M2" s="73"/>
    </row>
    <row r="8" spans="2:15" ht="15.75" thickBot="1"/>
    <row r="9" spans="2:15" ht="15.75" thickBot="1">
      <c r="N9" s="59" t="s">
        <v>5</v>
      </c>
      <c r="O9" s="60" t="str">
        <f>IF(ARB0="leabea",NBBR,"")</f>
        <v/>
      </c>
    </row>
    <row r="11" spans="2:15" ht="15.75" thickBot="1"/>
    <row r="12" spans="2:15" ht="15.75" thickBot="1">
      <c r="N12" s="59" t="s">
        <v>6</v>
      </c>
      <c r="O12" s="60" t="str">
        <f>IF(ARB0="leabea",NBQT-NBBR,"")</f>
        <v/>
      </c>
    </row>
    <row r="23" spans="2:12" ht="54" customHeight="1"/>
    <row r="30" spans="2:12" ht="15.75" thickBot="1"/>
    <row r="31" spans="2:12" ht="15.75" thickBot="1">
      <c r="B31" s="184" t="s">
        <v>191</v>
      </c>
      <c r="C31" s="189"/>
      <c r="D31" s="189"/>
      <c r="E31" s="189"/>
      <c r="F31" s="185"/>
      <c r="G31" s="184" t="s">
        <v>177</v>
      </c>
      <c r="H31" s="189"/>
      <c r="I31" s="189"/>
      <c r="J31" s="189"/>
      <c r="K31" s="189"/>
      <c r="L31" s="185"/>
    </row>
    <row r="32" spans="2:12" ht="15.75" thickBot="1">
      <c r="B32" s="184" t="str">
        <f>IF(RBRT*QCMF&gt;=0.7,"DATE DE VALIDATION :","DATE DE PASSAGE :")</f>
        <v>DATE DE PASSAGE :</v>
      </c>
      <c r="C32" s="185"/>
      <c r="D32" s="186">
        <f>DATE_DE_PASSAGE</f>
        <v>0</v>
      </c>
      <c r="E32" s="187"/>
      <c r="F32" s="188"/>
      <c r="G32" s="184" t="s">
        <v>67</v>
      </c>
      <c r="H32" s="185"/>
      <c r="I32" s="184" t="s">
        <v>190</v>
      </c>
      <c r="J32" s="189"/>
      <c r="K32" s="189"/>
      <c r="L32" s="185"/>
    </row>
    <row r="374" spans="60:62" ht="15.75" thickBot="1"/>
    <row r="375" spans="60:62" ht="15.75" thickBot="1">
      <c r="BH375" s="57" t="s">
        <v>189</v>
      </c>
      <c r="BI375" s="69">
        <f>IF(ARB0="risque",RBRT,0)</f>
        <v>0</v>
      </c>
      <c r="BJ375" s="70">
        <f>BI375*QCMF</f>
        <v>0</v>
      </c>
    </row>
    <row r="376" spans="60:62" ht="15.75" thickBot="1">
      <c r="BH376" s="57" t="s">
        <v>32</v>
      </c>
      <c r="BI376" s="69">
        <f>IF(ARB0="risque",RBR_1,0)</f>
        <v>0</v>
      </c>
      <c r="BJ376" s="69">
        <f>BI376*QCMF_1</f>
        <v>0</v>
      </c>
    </row>
    <row r="377" spans="60:62" ht="15.75" thickBot="1">
      <c r="BH377" s="57" t="s">
        <v>33</v>
      </c>
      <c r="BI377" s="69">
        <f>IF(ARB0="risque",RBR_2,0)</f>
        <v>0</v>
      </c>
      <c r="BJ377" s="69">
        <f>BI377*QCMF_2</f>
        <v>0</v>
      </c>
    </row>
    <row r="378" spans="60:62" ht="15.75" thickBot="1">
      <c r="BH378" s="57" t="s">
        <v>101</v>
      </c>
      <c r="BI378" s="69">
        <f>IF(ARB0="risque",RBR_3,0)</f>
        <v>0</v>
      </c>
      <c r="BJ378" s="71">
        <f>BI378*QCMF_3</f>
        <v>0</v>
      </c>
    </row>
    <row r="379" spans="60:62" ht="15.75" thickBot="1">
      <c r="BH379" s="57" t="s">
        <v>102</v>
      </c>
      <c r="BI379" s="80">
        <f>IF(ARB0="risque",RBR_4,0)</f>
        <v>0</v>
      </c>
      <c r="BJ379" s="80">
        <f>BI379*QCMF_4</f>
        <v>0</v>
      </c>
    </row>
  </sheetData>
  <sheetProtection password="C017" sheet="1" objects="1" scenarios="1"/>
  <mergeCells count="9">
    <mergeCell ref="B32:C32"/>
    <mergeCell ref="D32:F32"/>
    <mergeCell ref="G32:H32"/>
    <mergeCell ref="I32:L32"/>
    <mergeCell ref="J2:K2"/>
    <mergeCell ref="G2:I2"/>
    <mergeCell ref="C2:E2"/>
    <mergeCell ref="B31:F31"/>
    <mergeCell ref="G31:L31"/>
  </mergeCells>
  <pageMargins left="0.51181102362204722" right="0.51181102362204722" top="0.6692913385826772" bottom="0.62992125984251968" header="0.31496062992125984" footer="0.31496062992125984"/>
  <pageSetup paperSize="9" orientation="landscape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25</vt:i4>
      </vt:variant>
    </vt:vector>
  </HeadingPairs>
  <TitlesOfParts>
    <vt:vector size="28" baseType="lpstr">
      <vt:lpstr>Renseignements</vt:lpstr>
      <vt:lpstr>TEST B2V</vt:lpstr>
      <vt:lpstr>Résultats</vt:lpstr>
      <vt:lpstr>ABR</vt:lpstr>
      <vt:lpstr>ARB0</vt:lpstr>
      <vt:lpstr>DATE_DE_PASSAGE</vt:lpstr>
      <vt:lpstr>DATE_NAISSANCE</vt:lpstr>
      <vt:lpstr>DATE_PASSAGE</vt:lpstr>
      <vt:lpstr>NBBR</vt:lpstr>
      <vt:lpstr>NBQ_1</vt:lpstr>
      <vt:lpstr>NBQ_2</vt:lpstr>
      <vt:lpstr>NBQ_3</vt:lpstr>
      <vt:lpstr>NBQ_4</vt:lpstr>
      <vt:lpstr>NBQT</vt:lpstr>
      <vt:lpstr>NOM</vt:lpstr>
      <vt:lpstr>PRENOM</vt:lpstr>
      <vt:lpstr>QCMF</vt:lpstr>
      <vt:lpstr>QCMF_1</vt:lpstr>
      <vt:lpstr>QCMF_2</vt:lpstr>
      <vt:lpstr>QCMF_3</vt:lpstr>
      <vt:lpstr>QCMF_4</vt:lpstr>
      <vt:lpstr>RBR_1</vt:lpstr>
      <vt:lpstr>RBR_2</vt:lpstr>
      <vt:lpstr>RBR_3</vt:lpstr>
      <vt:lpstr>RBR_4</vt:lpstr>
      <vt:lpstr>RBRT</vt:lpstr>
      <vt:lpstr>Renseignements!Zone_d_impression</vt:lpstr>
      <vt:lpstr>Résultats!Zone_d_impression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</dc:creator>
  <cp:lastModifiedBy>frederic.degorgue</cp:lastModifiedBy>
  <cp:lastPrinted>2014-05-27T13:40:12Z</cp:lastPrinted>
  <dcterms:created xsi:type="dcterms:W3CDTF">2014-04-07T18:28:50Z</dcterms:created>
  <dcterms:modified xsi:type="dcterms:W3CDTF">2019-09-05T08:43:21Z</dcterms:modified>
</cp:coreProperties>
</file>